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SCALIZACION Y CONTROL\Estado del ambiente\Teresa cuencas n2\"/>
    </mc:Choice>
  </mc:AlternateContent>
  <xr:revisionPtr revIDLastSave="0" documentId="13_ncr:1_{50DDA463-740E-405A-81F0-18B3C2445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" sheetId="1" r:id="rId1"/>
    <sheet name="Datos consultados de solicitud" sheetId="2" r:id="rId2"/>
  </sheets>
  <definedNames>
    <definedName name="_xlnm._FilterDatabase" localSheetId="0" hidden="1">'10'!$A$1:$AD$244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0" i="1" l="1"/>
  <c r="K161" i="1"/>
  <c r="K165" i="1"/>
  <c r="K117" i="1"/>
  <c r="K44" i="1"/>
  <c r="K45" i="1"/>
  <c r="K46" i="1"/>
  <c r="K47" i="1"/>
  <c r="K217" i="1"/>
  <c r="K118" i="1"/>
  <c r="K3" i="1"/>
  <c r="K48" i="1"/>
  <c r="K4" i="1"/>
  <c r="K5" i="1"/>
  <c r="K49" i="1"/>
  <c r="K50" i="1"/>
  <c r="K79" i="1"/>
  <c r="K6" i="1"/>
  <c r="K218" i="1"/>
  <c r="K219" i="1"/>
  <c r="K80" i="1"/>
  <c r="K7" i="1"/>
  <c r="K8" i="1"/>
  <c r="K144" i="1"/>
  <c r="K51" i="1"/>
  <c r="K52" i="1"/>
  <c r="K9" i="1"/>
  <c r="K87" i="1"/>
  <c r="K119" i="1"/>
  <c r="K88" i="1"/>
  <c r="K81" i="1"/>
  <c r="K10" i="1"/>
  <c r="K53" i="1"/>
  <c r="K176" i="1"/>
  <c r="K177" i="1"/>
  <c r="K54" i="1"/>
  <c r="K220" i="1"/>
  <c r="K82" i="1"/>
  <c r="K83" i="1"/>
  <c r="K221" i="1"/>
  <c r="K55" i="1"/>
  <c r="K56" i="1"/>
  <c r="K11" i="1"/>
  <c r="K120" i="1"/>
  <c r="K12" i="1"/>
  <c r="K84" i="1"/>
  <c r="K57" i="1"/>
  <c r="K58" i="1"/>
  <c r="K13" i="1"/>
  <c r="K59" i="1"/>
  <c r="K166" i="1"/>
  <c r="K167" i="1"/>
  <c r="K168" i="1"/>
  <c r="K14" i="1"/>
  <c r="K15" i="1"/>
  <c r="K89" i="1"/>
  <c r="K60" i="1"/>
  <c r="K61" i="1"/>
  <c r="K222" i="1"/>
  <c r="K178" i="1"/>
  <c r="K145" i="1"/>
  <c r="K146" i="1"/>
  <c r="K147" i="1"/>
  <c r="K148" i="1"/>
  <c r="K90" i="1"/>
  <c r="K16" i="1"/>
  <c r="K121" i="1"/>
  <c r="K62" i="1"/>
  <c r="K63" i="1"/>
  <c r="K64" i="1"/>
  <c r="K91" i="1"/>
  <c r="K85" i="1"/>
  <c r="K65" i="1"/>
  <c r="K223" i="1"/>
  <c r="K179" i="1"/>
  <c r="K180" i="1"/>
  <c r="K122" i="1"/>
  <c r="K169" i="1"/>
  <c r="K92" i="1"/>
  <c r="K17" i="1"/>
  <c r="K18" i="1"/>
  <c r="K93" i="1"/>
  <c r="K181" i="1"/>
  <c r="K182" i="1"/>
  <c r="K198" i="1"/>
  <c r="K183" i="1"/>
  <c r="K19" i="1"/>
  <c r="K149" i="1"/>
  <c r="K20" i="1"/>
  <c r="K94" i="1"/>
  <c r="K95" i="1"/>
  <c r="K123" i="1"/>
  <c r="K66" i="1"/>
  <c r="K67" i="1"/>
  <c r="K124" i="1"/>
  <c r="K125" i="1"/>
  <c r="K126" i="1"/>
  <c r="K127" i="1"/>
  <c r="K128" i="1"/>
  <c r="K150" i="1"/>
  <c r="K129" i="1"/>
  <c r="K130" i="1"/>
  <c r="K184" i="1"/>
  <c r="K151" i="1"/>
  <c r="K68" i="1"/>
  <c r="K69" i="1"/>
  <c r="K185" i="1"/>
  <c r="K70" i="1"/>
  <c r="K199" i="1"/>
  <c r="K131" i="1"/>
  <c r="K200" i="1"/>
  <c r="K186" i="1"/>
  <c r="K170" i="1"/>
  <c r="K224" i="1"/>
  <c r="K21" i="1"/>
  <c r="K71" i="1"/>
  <c r="K22" i="1"/>
  <c r="K72" i="1"/>
  <c r="K96" i="1"/>
  <c r="K97" i="1"/>
  <c r="K86" i="1"/>
  <c r="K187" i="1"/>
  <c r="K171" i="1"/>
  <c r="K152" i="1"/>
  <c r="K153" i="1"/>
  <c r="K154" i="1"/>
  <c r="K155" i="1"/>
  <c r="K98" i="1"/>
  <c r="K23" i="1"/>
  <c r="K24" i="1"/>
  <c r="K25" i="1"/>
  <c r="K26" i="1"/>
  <c r="K201" i="1"/>
  <c r="K202" i="1"/>
  <c r="K132" i="1"/>
  <c r="K73" i="1"/>
  <c r="K27" i="1"/>
  <c r="K225" i="1"/>
  <c r="K226" i="1"/>
  <c r="K188" i="1"/>
  <c r="K133" i="1"/>
  <c r="K99" i="1"/>
  <c r="K100" i="1"/>
  <c r="K28" i="1"/>
  <c r="K203" i="1"/>
  <c r="K204" i="1"/>
  <c r="K101" i="1"/>
  <c r="K102" i="1"/>
  <c r="K74" i="1"/>
  <c r="K29" i="1"/>
  <c r="K30" i="1"/>
  <c r="K31" i="1"/>
  <c r="K32" i="1"/>
  <c r="K205" i="1"/>
  <c r="K206" i="1"/>
  <c r="K33" i="1"/>
  <c r="K103" i="1"/>
  <c r="K172" i="1"/>
  <c r="K34" i="1"/>
  <c r="K104" i="1"/>
  <c r="K105" i="1"/>
  <c r="K106" i="1"/>
  <c r="K207" i="1"/>
  <c r="K227" i="1"/>
  <c r="K75" i="1"/>
  <c r="K228" i="1"/>
  <c r="K35" i="1"/>
  <c r="K189" i="1"/>
  <c r="K36" i="1"/>
  <c r="K37" i="1"/>
  <c r="K38" i="1"/>
  <c r="K107" i="1"/>
  <c r="K156" i="1"/>
  <c r="K157" i="1"/>
  <c r="K39" i="1"/>
  <c r="K158" i="1"/>
  <c r="K229" i="1"/>
  <c r="K230" i="1"/>
  <c r="K108" i="1"/>
  <c r="K208" i="1"/>
  <c r="K209" i="1"/>
  <c r="K231" i="1"/>
  <c r="K232" i="1"/>
  <c r="K40" i="1"/>
  <c r="K233" i="1"/>
  <c r="K41" i="1"/>
  <c r="K109" i="1"/>
  <c r="K190" i="1"/>
  <c r="K191" i="1"/>
  <c r="K192" i="1"/>
  <c r="K234" i="1"/>
  <c r="K76" i="1"/>
  <c r="K193" i="1"/>
  <c r="K235" i="1"/>
  <c r="K210" i="1"/>
  <c r="K77" i="1"/>
  <c r="K134" i="1"/>
  <c r="K135" i="1"/>
  <c r="K136" i="1"/>
  <c r="K137" i="1"/>
  <c r="K42" i="1"/>
  <c r="K236" i="1"/>
  <c r="K194" i="1"/>
  <c r="K138" i="1"/>
  <c r="K237" i="1"/>
  <c r="K238" i="1"/>
  <c r="K110" i="1"/>
  <c r="K159" i="1"/>
  <c r="K111" i="1"/>
  <c r="K162" i="1"/>
  <c r="K195" i="1"/>
  <c r="K211" i="1"/>
  <c r="K212" i="1"/>
  <c r="K239" i="1"/>
  <c r="K240" i="1"/>
  <c r="K241" i="1"/>
  <c r="K242" i="1"/>
  <c r="K139" i="1"/>
  <c r="K243" i="1"/>
  <c r="K112" i="1"/>
  <c r="K163" i="1"/>
  <c r="K196" i="1"/>
  <c r="K213" i="1"/>
  <c r="K113" i="1"/>
  <c r="K140" i="1"/>
  <c r="K141" i="1"/>
  <c r="K164" i="1"/>
  <c r="K114" i="1"/>
  <c r="K115" i="1"/>
  <c r="K43" i="1"/>
  <c r="K214" i="1"/>
  <c r="K78" i="1"/>
  <c r="K215" i="1"/>
  <c r="K116" i="1"/>
  <c r="K142" i="1"/>
  <c r="K216" i="1"/>
  <c r="K244" i="1"/>
  <c r="K173" i="1"/>
  <c r="K174" i="1"/>
  <c r="K175" i="1"/>
  <c r="K143" i="1"/>
  <c r="K197" i="1"/>
  <c r="K2" i="1"/>
</calcChain>
</file>

<file path=xl/sharedStrings.xml><?xml version="1.0" encoding="utf-8"?>
<sst xmlns="http://schemas.openxmlformats.org/spreadsheetml/2006/main" count="2709" uniqueCount="386">
  <si>
    <t>Tipo de Solicitud</t>
  </si>
  <si>
    <t>Estado</t>
  </si>
  <si>
    <t>Departamento</t>
  </si>
  <si>
    <t>Volumen</t>
  </si>
  <si>
    <t>Uso</t>
  </si>
  <si>
    <t>Destino</t>
  </si>
  <si>
    <t>Latitud</t>
  </si>
  <si>
    <t>Longitud</t>
  </si>
  <si>
    <t>Tipo de Obra</t>
  </si>
  <si>
    <t>Codigo Cuencas de nivel 5</t>
  </si>
  <si>
    <t>Documento</t>
  </si>
  <si>
    <t>Sección y localidad catastral</t>
  </si>
  <si>
    <t>Cuencas de nivel 3</t>
  </si>
  <si>
    <t>Curso a Utilizar</t>
  </si>
  <si>
    <t>Área de Cuenca</t>
  </si>
  <si>
    <t>Área de Embalse</t>
  </si>
  <si>
    <t>Volúmen de Embalse</t>
  </si>
  <si>
    <t>Altura Máxima</t>
  </si>
  <si>
    <t>Tipo de acuifero</t>
  </si>
  <si>
    <t>profundidad</t>
  </si>
  <si>
    <t>Diámetro</t>
  </si>
  <si>
    <t>Caudal Ensayado</t>
  </si>
  <si>
    <t>Nivel Estático</t>
  </si>
  <si>
    <t>Nivel Dinámico</t>
  </si>
  <si>
    <t>Caudal maximo</t>
  </si>
  <si>
    <t>Codigo Cuencas de nivel 2</t>
  </si>
  <si>
    <t>Accion Solicitud</t>
  </si>
  <si>
    <t>Tipo Resolución</t>
  </si>
  <si>
    <t>Producción</t>
  </si>
  <si>
    <t>Proyecto de Aprovechamiento</t>
  </si>
  <si>
    <t>Registrada</t>
  </si>
  <si>
    <t>ARTIGAS</t>
  </si>
  <si>
    <t>Otros usos agropecuarios</t>
  </si>
  <si>
    <t>Abrevadero de ganado</t>
  </si>
  <si>
    <t>Represa Mediana</t>
  </si>
  <si>
    <t xml:space="preserve">31898163 </t>
  </si>
  <si>
    <t>RÍO CUAREIM entre Ao. CUARÓ GRANDE y Ao. Yucutujá</t>
  </si>
  <si>
    <t>Cda. Zanja José Juan</t>
  </si>
  <si>
    <t>Nueva</t>
  </si>
  <si>
    <t>Concesión</t>
  </si>
  <si>
    <t>SALTO</t>
  </si>
  <si>
    <t>PAYSANDÚ</t>
  </si>
  <si>
    <t>Represa Chica</t>
  </si>
  <si>
    <t xml:space="preserve">35595915 </t>
  </si>
  <si>
    <t>RÍO URUGUAY entre Ao. CHAPICUY CHICO y Ao. Chapicuy Grande</t>
  </si>
  <si>
    <t>Cañada</t>
  </si>
  <si>
    <t>Tajamar Chico</t>
  </si>
  <si>
    <t xml:space="preserve">160309020018 </t>
  </si>
  <si>
    <t>RÍO URUGUAY entre Ao. SAN ANTONIO GRANDE y Río Daymán</t>
  </si>
  <si>
    <t>Cda Tributaria/Ao Ceibal</t>
  </si>
  <si>
    <t>Permiso de uso</t>
  </si>
  <si>
    <t>Riego</t>
  </si>
  <si>
    <t>Caña de azúcar</t>
  </si>
  <si>
    <t>Tajamar Grande</t>
  </si>
  <si>
    <t xml:space="preserve">38243969 </t>
  </si>
  <si>
    <t>RÍO URUGUAY entre Ao. LENGUAZO y Ao. Ñaquiñá</t>
  </si>
  <si>
    <t>Cda. s/n</t>
  </si>
  <si>
    <t>Renovación</t>
  </si>
  <si>
    <t>Arroz</t>
  </si>
  <si>
    <t xml:space="preserve">216524340012 </t>
  </si>
  <si>
    <t>RÍO URUGUAY entre Ao. MANDIYÚ y Ao. Del Tigre</t>
  </si>
  <si>
    <t>Cda Capon/Ao.Mandiyí</t>
  </si>
  <si>
    <t>Cda. Atolladora</t>
  </si>
  <si>
    <t xml:space="preserve">11978204 </t>
  </si>
  <si>
    <t>Cda./ Ao Falso Mandiyú</t>
  </si>
  <si>
    <t>Cesión</t>
  </si>
  <si>
    <t>SORIANO</t>
  </si>
  <si>
    <t>Otros usos</t>
  </si>
  <si>
    <t>Turismo/Recreación</t>
  </si>
  <si>
    <t xml:space="preserve">40093950011 </t>
  </si>
  <si>
    <t>RÍO URUGUAY entre Río SAN SALVADOR y Ao. Del Catalán</t>
  </si>
  <si>
    <t>Cda. Del Sauce</t>
  </si>
  <si>
    <t xml:space="preserve">215277190011 </t>
  </si>
  <si>
    <t>RÍO URUGUAY entre Ao. ITAPEBÍ GRANDE y Ao. San Antonio Grande</t>
  </si>
  <si>
    <t>Ao. De Los Talas</t>
  </si>
  <si>
    <t xml:space="preserve">28047010 </t>
  </si>
  <si>
    <t>Cda. del Sauce</t>
  </si>
  <si>
    <t xml:space="preserve">31607691 </t>
  </si>
  <si>
    <t>RÍO URUGUAY entre Ao. ÑAQUIÑÁ y Ao. Mandiyú</t>
  </si>
  <si>
    <t>Cda. De La Peste</t>
  </si>
  <si>
    <t xml:space="preserve">30066460 </t>
  </si>
  <si>
    <t>RÍO CUAREIM entre Ao. TRES CRUCES GRANDE y Ao. Cuaró Grande</t>
  </si>
  <si>
    <t xml:space="preserve">56967232 , 56972097 , 56971968 , 56967191 </t>
  </si>
  <si>
    <t>RÍO CUAREIM entre Ao. YUCUTUJÁ y Río Uruguay</t>
  </si>
  <si>
    <t>Cda. Del Sauzal I</t>
  </si>
  <si>
    <t>Represa Grande</t>
  </si>
  <si>
    <t xml:space="preserve">56972097 </t>
  </si>
  <si>
    <t>RÍO URUGUAY entre Ao. ITACUMBÚ y Ao. Lenguazo</t>
  </si>
  <si>
    <t>Cda. Zanja Honda</t>
  </si>
  <si>
    <t xml:space="preserve">29244405 , 31029643 , 13919086 , 30995742 </t>
  </si>
  <si>
    <t>RÍO URUGUAY entre Ao. DEL TIGRE y Ao. Guaviyú</t>
  </si>
  <si>
    <t>Cda Yacaré</t>
  </si>
  <si>
    <t xml:space="preserve">35752705 </t>
  </si>
  <si>
    <t>RÍO ARAPEY CHICO entre nacientes y Ao. Sequeira</t>
  </si>
  <si>
    <t>Cda. Espinillos</t>
  </si>
  <si>
    <t xml:space="preserve">213370680019 </t>
  </si>
  <si>
    <t>Cda. / Ao. Cuaro</t>
  </si>
  <si>
    <t>Forraje/Pradera/Semillas</t>
  </si>
  <si>
    <t xml:space="preserve">214869000015 </t>
  </si>
  <si>
    <t>Cereales/Oleaginosas</t>
  </si>
  <si>
    <t xml:space="preserve">212467220014 </t>
  </si>
  <si>
    <t xml:space="preserve">12591857 , 14780414 </t>
  </si>
  <si>
    <t>RÍO ARAPEY CHICO entre Ao. CEBALLOS GRANDE y Río Arapey Grande</t>
  </si>
  <si>
    <t>Ao. Ceballos Grande</t>
  </si>
  <si>
    <t xml:space="preserve">28769046 , 37820075 </t>
  </si>
  <si>
    <t>RÍO CUAREIM entre Ao. YACARÉ GRANDE y Ao. Tres Cruces Grande</t>
  </si>
  <si>
    <t>Cda. sin nombre</t>
  </si>
  <si>
    <t xml:space="preserve">36776792 </t>
  </si>
  <si>
    <t>Cda. /A° Sarandí</t>
  </si>
  <si>
    <t xml:space="preserve">160096500018 </t>
  </si>
  <si>
    <t>RÍO DAYMÁN entre Ao. LAURELES GRANDE y RÍO URUGUAY</t>
  </si>
  <si>
    <t>Cda. Tapera</t>
  </si>
  <si>
    <t xml:space="preserve">26469446 </t>
  </si>
  <si>
    <t>Cda. Del Pesquero</t>
  </si>
  <si>
    <t xml:space="preserve">212251530015 </t>
  </si>
  <si>
    <t>RÍO CUAREIM entre Ao. PINTADO GRANDE y Ao. Yacot</t>
  </si>
  <si>
    <t>Cda. Grande/Ao. de la Raposa</t>
  </si>
  <si>
    <t xml:space="preserve">212673840014 </t>
  </si>
  <si>
    <t>RÍO ARAPEY GRANDE entre Ao. VALENTÍN CHICO y Ao. Tangarupá</t>
  </si>
  <si>
    <t>Ao. del Tala</t>
  </si>
  <si>
    <t>Frutales</t>
  </si>
  <si>
    <t xml:space="preserve">11260108 </t>
  </si>
  <si>
    <t>Ao. San Antonio Grande</t>
  </si>
  <si>
    <t xml:space="preserve">160210560010 </t>
  </si>
  <si>
    <t>RÍO ARAPEY GRANDE entre Río Arapey Chico y Río Uruguay</t>
  </si>
  <si>
    <t xml:space="preserve">45828437 </t>
  </si>
  <si>
    <t>RÍO ARAPEY CHICO entre Ao. DE LAS CAÑAS y Ao. Ceballos Grande</t>
  </si>
  <si>
    <t>Cda. Zanja Aguapey</t>
  </si>
  <si>
    <t xml:space="preserve">218616610012 </t>
  </si>
  <si>
    <t>Cda. del Cerrito</t>
  </si>
  <si>
    <t xml:space="preserve">11366712 </t>
  </si>
  <si>
    <t>Ao del Tigre</t>
  </si>
  <si>
    <t xml:space="preserve">211552040019 </t>
  </si>
  <si>
    <t>RÍO QUEGUAY GRANDE entre Ao. QUEBRACHO GRANDE y Río Uruguay</t>
  </si>
  <si>
    <t xml:space="preserve">34537594 </t>
  </si>
  <si>
    <t>Cañada Yacaré</t>
  </si>
  <si>
    <t>Reservorio</t>
  </si>
  <si>
    <t xml:space="preserve">217526320017 </t>
  </si>
  <si>
    <t xml:space="preserve">120331630010 </t>
  </si>
  <si>
    <t>Cañada de la Tapera</t>
  </si>
  <si>
    <t xml:space="preserve">10117680017 </t>
  </si>
  <si>
    <t>Cda. Zanja De Los Manantiales</t>
  </si>
  <si>
    <t xml:space="preserve">214356770012 </t>
  </si>
  <si>
    <t xml:space="preserve">214377880011 </t>
  </si>
  <si>
    <t>Ao. Itacumbú</t>
  </si>
  <si>
    <t>Cda. Del Yacaré</t>
  </si>
  <si>
    <t xml:space="preserve">10073610019 </t>
  </si>
  <si>
    <t>RÍO CUAREIM entre Ao. YACOT y Ao. Yacaré Grande</t>
  </si>
  <si>
    <t>Cda./Ao Yacot</t>
  </si>
  <si>
    <t>Otros</t>
  </si>
  <si>
    <t xml:space="preserve">34550605 </t>
  </si>
  <si>
    <t>Cañada del Autódromo de Salto</t>
  </si>
  <si>
    <t>Ao. Molles del Sauce</t>
  </si>
  <si>
    <t xml:space="preserve">predebonseliogilson </t>
  </si>
  <si>
    <t>Autorización</t>
  </si>
  <si>
    <t xml:space="preserve">15033985 </t>
  </si>
  <si>
    <t xml:space="preserve">calpica </t>
  </si>
  <si>
    <t xml:space="preserve">20362 </t>
  </si>
  <si>
    <t xml:space="preserve">11591856 </t>
  </si>
  <si>
    <t>Cda. del Viejo Sebastian</t>
  </si>
  <si>
    <t>Tajamar Mediano</t>
  </si>
  <si>
    <t xml:space="preserve">211190710010 </t>
  </si>
  <si>
    <t>RÍO URUGUAY entre Río Daymán y Ao. Chapicuy Chico</t>
  </si>
  <si>
    <t>Cañada sin nombre</t>
  </si>
  <si>
    <t>RÍO URUGUAY entre Ao. CHAPICUY GRANDE y Ao. Guaviyú</t>
  </si>
  <si>
    <t>Cda./Ao. Carpinchuri</t>
  </si>
  <si>
    <t xml:space="preserve">31534351 </t>
  </si>
  <si>
    <t/>
  </si>
  <si>
    <t xml:space="preserve">010208320013 , 50285246 , 0100208320013 , 50285252 </t>
  </si>
  <si>
    <t xml:space="preserve">010208320013 , 50285252 , 50285246 , 0100208320013 </t>
  </si>
  <si>
    <t xml:space="preserve">217189220012 </t>
  </si>
  <si>
    <t>RÍO ARAPEY GRANDE entre Ao. ARERUNGUÁ y Ao. Valentín Grande</t>
  </si>
  <si>
    <t>Cda. Del Empedrado</t>
  </si>
  <si>
    <t xml:space="preserve">210414920015 </t>
  </si>
  <si>
    <t xml:space="preserve">36636055 </t>
  </si>
  <si>
    <t>RÍO URUGUAY entre Río Cuareim y Ao. Itacumbú</t>
  </si>
  <si>
    <t xml:space="preserve">215070960012 </t>
  </si>
  <si>
    <t xml:space="preserve">120087840015 </t>
  </si>
  <si>
    <t>RÍO QUEGUAY GRANDE entre Ao. DE SOTO y Ao. Quebracho Grande</t>
  </si>
  <si>
    <t>RÍO DAYMÁN entre Ao. CARUMBÉ y Ao. Laureles Grande</t>
  </si>
  <si>
    <t>Cda. De Las Flores</t>
  </si>
  <si>
    <t xml:space="preserve">35430385 </t>
  </si>
  <si>
    <t xml:space="preserve">36320933 </t>
  </si>
  <si>
    <t>RÍO CUAREIM entre Ao. CATALÁN GRANDE y Ao. Pintado Grande</t>
  </si>
  <si>
    <t>Hortalizas</t>
  </si>
  <si>
    <t xml:space="preserve">31346665 </t>
  </si>
  <si>
    <t>RÍO URUGUAY entre Ao. ESPINILLAR y Ao. Itapebí Grande</t>
  </si>
  <si>
    <t xml:space="preserve">26555869 </t>
  </si>
  <si>
    <t xml:space="preserve">211215900012 </t>
  </si>
  <si>
    <t xml:space="preserve">218503390017 </t>
  </si>
  <si>
    <t xml:space="preserve">26628541 </t>
  </si>
  <si>
    <t>RÍO URUGUAY entre Ao. GUAVIYÚ y Ao. Yacuy</t>
  </si>
  <si>
    <t xml:space="preserve">215314530011 </t>
  </si>
  <si>
    <t>RÍO QUEGUAY GRANDE entre nacientes y Ao. De Los Corrales</t>
  </si>
  <si>
    <t xml:space="preserve">218300310019 </t>
  </si>
  <si>
    <t>RÍO URUGUAY entre Ao. BARRANCAS GRANDE y Río Queguay Grande</t>
  </si>
  <si>
    <t xml:space="preserve">212259070013 </t>
  </si>
  <si>
    <t>RÍO ARAPEY GRANDE entre Ao. VALENTÍN GRANDE y Ao. Valentín Chico</t>
  </si>
  <si>
    <t xml:space="preserve">33566532 , 37155995 , 37156002 , 30534714 , 27124530 </t>
  </si>
  <si>
    <t xml:space="preserve">27057062 </t>
  </si>
  <si>
    <t xml:space="preserve">7018121 , 14486741 , 14486810 </t>
  </si>
  <si>
    <t>RÍO ARAPEY GRANDE entre Ao. MATAOJITO y Ao. Arerunguá</t>
  </si>
  <si>
    <t xml:space="preserve">30388852 , 27694638 , 27711474 </t>
  </si>
  <si>
    <t xml:space="preserve">44047595 </t>
  </si>
  <si>
    <t>RÍO QUEGUAY GRANDE entre Ao. BACACUÁ GRANDE y Ao. De Soto</t>
  </si>
  <si>
    <t xml:space="preserve">216744800012 </t>
  </si>
  <si>
    <t>RÍO URUGUAY entre Río Queguay Grande y Ao. San Francisco Grande</t>
  </si>
  <si>
    <t>Cda. De San Miguel</t>
  </si>
  <si>
    <t>Cda. sin nombre/Ao. de Soto Chico</t>
  </si>
  <si>
    <t xml:space="preserve">46815897 , 44264173 , 31393953 , 31393969 , 41856923 </t>
  </si>
  <si>
    <t>Cda. Del Potrero</t>
  </si>
  <si>
    <t xml:space="preserve">32884171 , 32884159 , 33718545 , 32884165 , 40699580 </t>
  </si>
  <si>
    <t>Cda/ Ao.  Guayabos</t>
  </si>
  <si>
    <t xml:space="preserve">17315797 </t>
  </si>
  <si>
    <t>RÍO ARAPEY GRANDE entre Ao. TANGARUPÁ y Río Arapey Chico</t>
  </si>
  <si>
    <t>Zanja tributaria</t>
  </si>
  <si>
    <t xml:space="preserve">215054500010 </t>
  </si>
  <si>
    <t>Cda del Sauce</t>
  </si>
  <si>
    <t xml:space="preserve">160145640019 </t>
  </si>
  <si>
    <t>RÍO DAYMÁN entre nacientes y Ao. Carumbé</t>
  </si>
  <si>
    <t>Ao. Bayucuá Grande</t>
  </si>
  <si>
    <t xml:space="preserve">211567670013 </t>
  </si>
  <si>
    <t>Cda. San Diego - Ao Itapebi</t>
  </si>
  <si>
    <t xml:space="preserve">30224163 </t>
  </si>
  <si>
    <t>Cda. Manantiales</t>
  </si>
  <si>
    <t xml:space="preserve">35148544 </t>
  </si>
  <si>
    <t>RÍO QUEGUAY GRANDE entre Ao. DE LOS CORRALES y Ao. Guayabos Grande</t>
  </si>
  <si>
    <t xml:space="preserve">160143890018 </t>
  </si>
  <si>
    <t>Cda. Del Juncal</t>
  </si>
  <si>
    <t xml:space="preserve">48044321 </t>
  </si>
  <si>
    <t>Cda. Zanja Del Sauce</t>
  </si>
  <si>
    <t xml:space="preserve">30184385 </t>
  </si>
  <si>
    <t xml:space="preserve">120058650017 </t>
  </si>
  <si>
    <t>RÍO QUEGUAY GRANDE entre Ao. BURUCAYUPÍ y Ao. Capilla Vieja</t>
  </si>
  <si>
    <t>Ao. Campamento/Ao. Buricayupí</t>
  </si>
  <si>
    <t xml:space="preserve">31029643 , 216524340012 , 13919086 , 30995742 , 29244405 </t>
  </si>
  <si>
    <t>Ao. Mandiyú</t>
  </si>
  <si>
    <t>RÍO URUGUAY entre Ao. NEGRO y Ao. Román Grande</t>
  </si>
  <si>
    <t>Ao. Chinflaco</t>
  </si>
  <si>
    <t xml:space="preserve">160149350019 </t>
  </si>
  <si>
    <t>Cda de las Merecdes/Ao Itapebí Gde</t>
  </si>
  <si>
    <t xml:space="preserve">214468220014 </t>
  </si>
  <si>
    <t>Control de incendios</t>
  </si>
  <si>
    <t xml:space="preserve">212277260015 </t>
  </si>
  <si>
    <t>Cda. Del Tajamar</t>
  </si>
  <si>
    <t xml:space="preserve">217561700017 </t>
  </si>
  <si>
    <t xml:space="preserve">180202350015 </t>
  </si>
  <si>
    <t>Cda./Ao. del Espinillo</t>
  </si>
  <si>
    <t xml:space="preserve">56812451 </t>
  </si>
  <si>
    <t xml:space="preserve">27057078 </t>
  </si>
  <si>
    <t>RÍO URUGUAY entre Ao. YACUY y Río Arapey Grande</t>
  </si>
  <si>
    <t>Ao. de Gaspar</t>
  </si>
  <si>
    <t xml:space="preserve">12646525 , 12646531 , 6433704 , 12646547 </t>
  </si>
  <si>
    <t>Cda. de la Isleta</t>
  </si>
  <si>
    <t xml:space="preserve">211573060019 </t>
  </si>
  <si>
    <t>Cda. De Alcaín</t>
  </si>
  <si>
    <t xml:space="preserve">010231530010 </t>
  </si>
  <si>
    <t>Zanja nacientes del Patitas</t>
  </si>
  <si>
    <t xml:space="preserve">214785020015 </t>
  </si>
  <si>
    <t xml:space="preserve">216196730014 </t>
  </si>
  <si>
    <t>Cda. Garrido</t>
  </si>
  <si>
    <t xml:space="preserve">9377747 </t>
  </si>
  <si>
    <t>Cda/Ao del Sauce</t>
  </si>
  <si>
    <t xml:space="preserve">32651524 </t>
  </si>
  <si>
    <t>Cda. Honda</t>
  </si>
  <si>
    <t xml:space="preserve">212255870015 </t>
  </si>
  <si>
    <t xml:space="preserve">90051500016 </t>
  </si>
  <si>
    <t>Cda. Cuatro Sauces</t>
  </si>
  <si>
    <t xml:space="preserve">25342114 , 29479414 , 19390210 , 27392010 , 34866181 </t>
  </si>
  <si>
    <t>Cda. Del Sauzal</t>
  </si>
  <si>
    <t>RÍO NEGRO</t>
  </si>
  <si>
    <t xml:space="preserve">13547722 </t>
  </si>
  <si>
    <t>RÍO URUGUAY entre Ao. ROMÁN GRANDE y Río Negro</t>
  </si>
  <si>
    <t xml:space="preserve">130146100016 </t>
  </si>
  <si>
    <t xml:space="preserve">58515625 </t>
  </si>
  <si>
    <t xml:space="preserve">218243960013 </t>
  </si>
  <si>
    <t xml:space="preserve">180303400015 </t>
  </si>
  <si>
    <t xml:space="preserve">214887750012 </t>
  </si>
  <si>
    <t xml:space="preserve">218187200012 </t>
  </si>
  <si>
    <t xml:space="preserve">29598355 , 18765432 </t>
  </si>
  <si>
    <t xml:space="preserve">18765432 , 25295187 </t>
  </si>
  <si>
    <t xml:space="preserve">27392010 , 29479414 , 19390210 , 25342114 , 34866181 </t>
  </si>
  <si>
    <t>Ao. Sarandí</t>
  </si>
  <si>
    <t xml:space="preserve">30933025 </t>
  </si>
  <si>
    <t xml:space="preserve">30681101 , 18765432 </t>
  </si>
  <si>
    <t xml:space="preserve">210997180013 </t>
  </si>
  <si>
    <t xml:space="preserve">26588569 </t>
  </si>
  <si>
    <t>Ao. De Lemos</t>
  </si>
  <si>
    <t xml:space="preserve">28416043 </t>
  </si>
  <si>
    <t xml:space="preserve">213600990014 </t>
  </si>
  <si>
    <t xml:space="preserve">213495620011 </t>
  </si>
  <si>
    <t xml:space="preserve">214360100018 </t>
  </si>
  <si>
    <t>Ao. Gutiérrez Grande</t>
  </si>
  <si>
    <t xml:space="preserve">25100984 </t>
  </si>
  <si>
    <t xml:space="preserve">38072255 , 18765432 </t>
  </si>
  <si>
    <t xml:space="preserve">211211380014 </t>
  </si>
  <si>
    <t>Cda. del Horno/ Ao. San José</t>
  </si>
  <si>
    <t xml:space="preserve">35841108 </t>
  </si>
  <si>
    <t>Cda. Zanja De La Media Luna</t>
  </si>
  <si>
    <t xml:space="preserve">12646525 , 6433704 , 12646531 , 12646547 </t>
  </si>
  <si>
    <t xml:space="preserve">12646547 , 12646531 , 6433704 , 12646525 </t>
  </si>
  <si>
    <t>Cda. Brava</t>
  </si>
  <si>
    <t xml:space="preserve">216086610014 </t>
  </si>
  <si>
    <t>Cda Capón del León</t>
  </si>
  <si>
    <t>Cda. De La Potranca</t>
  </si>
  <si>
    <t xml:space="preserve">32579865 </t>
  </si>
  <si>
    <t xml:space="preserve">43752400 </t>
  </si>
  <si>
    <t>RÍO URUGUAY entre Ao. DEL CATALÁN y Ao. Agraciada</t>
  </si>
  <si>
    <t xml:space="preserve">43839650 </t>
  </si>
  <si>
    <t xml:space="preserve">A600245 , A600244 , A600247 </t>
  </si>
  <si>
    <t xml:space="preserve">46315778 </t>
  </si>
  <si>
    <t xml:space="preserve">36906369 </t>
  </si>
  <si>
    <t xml:space="preserve">10344795 </t>
  </si>
  <si>
    <t>Cda. Grande</t>
  </si>
  <si>
    <t xml:space="preserve">160020980019 </t>
  </si>
  <si>
    <t>Usos no consuntivos</t>
  </si>
  <si>
    <t>Cda/Aº Ceibal Gde.</t>
  </si>
  <si>
    <t xml:space="preserve">215146550014 </t>
  </si>
  <si>
    <t>Cda. De Los Mimbres</t>
  </si>
  <si>
    <t xml:space="preserve">27840487 </t>
  </si>
  <si>
    <t xml:space="preserve">219012890018 </t>
  </si>
  <si>
    <t xml:space="preserve">37364863 , 18765432 </t>
  </si>
  <si>
    <t>RÍO ARAPEY GRANDE entre Ao. DEL CERRO CHATO y Ao. Mataojo Chico</t>
  </si>
  <si>
    <t xml:space="preserve">211210520017 </t>
  </si>
  <si>
    <t>RÍO URUGUAY entre Ao. SAN FRANCISCO GRANDE y Ao. Negro</t>
  </si>
  <si>
    <t xml:space="preserve">216403320010 </t>
  </si>
  <si>
    <t xml:space="preserve">218880630014 </t>
  </si>
  <si>
    <t xml:space="preserve">210161470017 </t>
  </si>
  <si>
    <t>Cda. De La Chacra</t>
  </si>
  <si>
    <t xml:space="preserve">211097980011 </t>
  </si>
  <si>
    <t>Cda. De Los Molles</t>
  </si>
  <si>
    <t xml:space="preserve">28721860 </t>
  </si>
  <si>
    <t xml:space="preserve">18647020 </t>
  </si>
  <si>
    <t xml:space="preserve">30297332 </t>
  </si>
  <si>
    <t>RÍO QUEGUAY GRANDE entre RÍO QUEGUAY CHICO y Ao. Burucayupí</t>
  </si>
  <si>
    <t>Ao. Gualeguay</t>
  </si>
  <si>
    <t xml:space="preserve">37487039 </t>
  </si>
  <si>
    <t>Cda. Del Ombú</t>
  </si>
  <si>
    <t xml:space="preserve">11746532 </t>
  </si>
  <si>
    <t>Ao. Santa Ana</t>
  </si>
  <si>
    <t>Cda. Del Pedregal</t>
  </si>
  <si>
    <t xml:space="preserve">216821320016 </t>
  </si>
  <si>
    <t xml:space="preserve">29142336 , 40121335 , 3204040 </t>
  </si>
  <si>
    <t>Cda. De Las Totoras</t>
  </si>
  <si>
    <t xml:space="preserve">33749071 , 35770850 </t>
  </si>
  <si>
    <t xml:space="preserve">35321839 </t>
  </si>
  <si>
    <t xml:space="preserve">218056480011 </t>
  </si>
  <si>
    <t>Cda. De Los Manantiales</t>
  </si>
  <si>
    <t xml:space="preserve">64205987 , 64205993 </t>
  </si>
  <si>
    <t xml:space="preserve">212277280016 </t>
  </si>
  <si>
    <t xml:space="preserve">36195247 , 214660190012 </t>
  </si>
  <si>
    <t xml:space="preserve">214822560014 </t>
  </si>
  <si>
    <t xml:space="preserve">212776060011 </t>
  </si>
  <si>
    <t xml:space="preserve">214763790012 </t>
  </si>
  <si>
    <t>Cda. Del Puesto</t>
  </si>
  <si>
    <t xml:space="preserve">216205280012 </t>
  </si>
  <si>
    <t xml:space="preserve">180310240012 </t>
  </si>
  <si>
    <t xml:space="preserve">28808121 </t>
  </si>
  <si>
    <t xml:space="preserve">219039670019 </t>
  </si>
  <si>
    <t xml:space="preserve">35798486 </t>
  </si>
  <si>
    <t xml:space="preserve">214173860012 </t>
  </si>
  <si>
    <t>RenovaciónRenovación</t>
  </si>
  <si>
    <t>Permiso de usoPermiso de uso</t>
  </si>
  <si>
    <t xml:space="preserve">210315360011 </t>
  </si>
  <si>
    <t>Cda. Fea</t>
  </si>
  <si>
    <t xml:space="preserve">215143150015 </t>
  </si>
  <si>
    <t xml:space="preserve">29660544 , 40923575 , 37132583 </t>
  </si>
  <si>
    <t xml:space="preserve">36180589 </t>
  </si>
  <si>
    <t xml:space="preserve">214824400014 </t>
  </si>
  <si>
    <t xml:space="preserve">214288140012 </t>
  </si>
  <si>
    <t>Cda. De La Manguera</t>
  </si>
  <si>
    <t xml:space="preserve">216190270011 </t>
  </si>
  <si>
    <t>Cda. Del Cerro</t>
  </si>
  <si>
    <t xml:space="preserve">44995976 </t>
  </si>
  <si>
    <t xml:space="preserve">212428180015 </t>
  </si>
  <si>
    <t xml:space="preserve">28728335 </t>
  </si>
  <si>
    <t>Zanja de los Juncos</t>
  </si>
  <si>
    <t>Cañada Tributaria</t>
  </si>
  <si>
    <t>Ao. Chapicuy Grande</t>
  </si>
  <si>
    <t xml:space="preserve">25280582 , 43651131 </t>
  </si>
  <si>
    <t>Ao. De Soto</t>
  </si>
  <si>
    <t>Nivel Cuenca</t>
  </si>
  <si>
    <t>Tipo Obra:</t>
  </si>
  <si>
    <t>Embalse y/o Tanque</t>
  </si>
  <si>
    <t>Estado Solicitud:</t>
  </si>
  <si>
    <t>Cuenca de nivel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</si>
</sst>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rgb="FF30A60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4"/>
  <sheetViews>
    <sheetView tabSelected="1" topLeftCell="K139" workbookViewId="0">
      <selection activeCell="T156" sqref="T156:T160"/>
    </sheetView>
  </sheetViews>
  <sheetFormatPr baseColWidth="10" defaultColWidth="9.140625" defaultRowHeight="15" x14ac:dyDescent="0.25"/>
  <cols>
    <col min="1" max="8" width="19.5703125" customWidth="1"/>
    <col min="9" max="9" width="47.85546875" customWidth="1"/>
    <col min="10" max="10" width="28.140625" customWidth="1"/>
    <col min="11" max="11" width="28.140625" style="4" customWidth="1"/>
    <col min="12" max="30" width="19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385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t="s">
        <v>29</v>
      </c>
      <c r="B2" t="s">
        <v>30</v>
      </c>
      <c r="C2" t="s">
        <v>31</v>
      </c>
      <c r="D2">
        <v>4097400</v>
      </c>
      <c r="E2" t="s">
        <v>32</v>
      </c>
      <c r="F2" t="s">
        <v>33</v>
      </c>
      <c r="G2">
        <v>-30.551231870022185</v>
      </c>
      <c r="H2">
        <v>-56.907141639452583</v>
      </c>
      <c r="I2" t="s">
        <v>34</v>
      </c>
      <c r="J2">
        <v>10840</v>
      </c>
      <c r="K2" s="4" t="str">
        <f t="shared" ref="K2:K65" si="0">LEFT(J2,2)</f>
        <v>10</v>
      </c>
      <c r="L2" t="s">
        <v>35</v>
      </c>
      <c r="N2" t="s">
        <v>36</v>
      </c>
      <c r="O2" t="s">
        <v>37</v>
      </c>
      <c r="P2">
        <v>875</v>
      </c>
      <c r="Q2">
        <v>98.8</v>
      </c>
      <c r="R2">
        <v>4097400</v>
      </c>
      <c r="S2">
        <v>13</v>
      </c>
      <c r="AA2">
        <v>10</v>
      </c>
      <c r="AB2" t="s">
        <v>38</v>
      </c>
      <c r="AC2" t="s">
        <v>39</v>
      </c>
    </row>
    <row r="3" spans="1:30" x14ac:dyDescent="0.25">
      <c r="A3" t="s">
        <v>29</v>
      </c>
      <c r="B3" t="s">
        <v>30</v>
      </c>
      <c r="C3" t="s">
        <v>31</v>
      </c>
      <c r="D3">
        <v>2237000</v>
      </c>
      <c r="E3" t="s">
        <v>32</v>
      </c>
      <c r="F3" t="s">
        <v>33</v>
      </c>
      <c r="G3">
        <v>-30.768699089046773</v>
      </c>
      <c r="H3">
        <v>-56.895000943205687</v>
      </c>
      <c r="I3" t="s">
        <v>34</v>
      </c>
      <c r="J3">
        <v>10826</v>
      </c>
      <c r="K3" s="4" t="str">
        <f t="shared" si="0"/>
        <v>10</v>
      </c>
      <c r="L3" t="s">
        <v>75</v>
      </c>
      <c r="M3">
        <v>5</v>
      </c>
      <c r="N3" t="s">
        <v>36</v>
      </c>
      <c r="O3" t="s">
        <v>76</v>
      </c>
      <c r="P3">
        <v>720</v>
      </c>
      <c r="Q3">
        <v>86.33</v>
      </c>
      <c r="R3">
        <v>2237000</v>
      </c>
      <c r="S3">
        <v>9.6999999999999993</v>
      </c>
      <c r="AA3">
        <v>10</v>
      </c>
      <c r="AB3" t="s">
        <v>57</v>
      </c>
      <c r="AC3" t="s">
        <v>39</v>
      </c>
    </row>
    <row r="4" spans="1:30" x14ac:dyDescent="0.25">
      <c r="A4" t="s">
        <v>29</v>
      </c>
      <c r="B4" t="s">
        <v>30</v>
      </c>
      <c r="C4" t="s">
        <v>31</v>
      </c>
      <c r="D4">
        <v>0</v>
      </c>
      <c r="E4" t="s">
        <v>51</v>
      </c>
      <c r="F4" t="s">
        <v>58</v>
      </c>
      <c r="G4">
        <v>-30.539454557101294</v>
      </c>
      <c r="H4">
        <v>-56.603028152898787</v>
      </c>
      <c r="I4" t="s">
        <v>42</v>
      </c>
      <c r="J4">
        <v>10710</v>
      </c>
      <c r="K4" s="4" t="str">
        <f t="shared" si="0"/>
        <v>10</v>
      </c>
      <c r="L4" t="s">
        <v>80</v>
      </c>
      <c r="N4" t="s">
        <v>81</v>
      </c>
      <c r="O4" t="s">
        <v>56</v>
      </c>
      <c r="P4">
        <v>80</v>
      </c>
      <c r="Q4">
        <v>15.9</v>
      </c>
      <c r="R4">
        <v>447000</v>
      </c>
      <c r="S4">
        <v>7.5</v>
      </c>
      <c r="AA4">
        <v>10</v>
      </c>
      <c r="AB4" t="s">
        <v>57</v>
      </c>
      <c r="AC4" t="s">
        <v>39</v>
      </c>
      <c r="AD4">
        <v>0</v>
      </c>
    </row>
    <row r="5" spans="1:30" x14ac:dyDescent="0.25">
      <c r="A5" t="s">
        <v>29</v>
      </c>
      <c r="B5" t="s">
        <v>30</v>
      </c>
      <c r="C5" t="s">
        <v>31</v>
      </c>
      <c r="D5">
        <v>2000000</v>
      </c>
      <c r="E5" t="s">
        <v>51</v>
      </c>
      <c r="F5" t="s">
        <v>58</v>
      </c>
      <c r="G5">
        <v>-30.378383672377165</v>
      </c>
      <c r="H5">
        <v>-57.398262179829977</v>
      </c>
      <c r="I5" t="s">
        <v>34</v>
      </c>
      <c r="J5">
        <v>10950</v>
      </c>
      <c r="K5" s="4" t="str">
        <f t="shared" si="0"/>
        <v>10</v>
      </c>
      <c r="L5" t="s">
        <v>82</v>
      </c>
      <c r="M5">
        <v>9</v>
      </c>
      <c r="N5" t="s">
        <v>83</v>
      </c>
      <c r="O5" t="s">
        <v>84</v>
      </c>
      <c r="P5">
        <v>500</v>
      </c>
      <c r="Q5">
        <v>72.739999999999995</v>
      </c>
      <c r="R5">
        <v>2000000</v>
      </c>
      <c r="S5">
        <v>9.6</v>
      </c>
      <c r="AA5">
        <v>10</v>
      </c>
      <c r="AB5" t="s">
        <v>38</v>
      </c>
      <c r="AC5" t="s">
        <v>39</v>
      </c>
    </row>
    <row r="6" spans="1:30" x14ac:dyDescent="0.25">
      <c r="A6" t="s">
        <v>29</v>
      </c>
      <c r="B6" t="s">
        <v>30</v>
      </c>
      <c r="C6" t="s">
        <v>31</v>
      </c>
      <c r="D6">
        <v>648000</v>
      </c>
      <c r="E6" t="s">
        <v>51</v>
      </c>
      <c r="F6" t="s">
        <v>58</v>
      </c>
      <c r="G6">
        <v>-30.745597225457516</v>
      </c>
      <c r="H6">
        <v>-56.852970642218239</v>
      </c>
      <c r="I6" t="s">
        <v>42</v>
      </c>
      <c r="J6">
        <v>10824</v>
      </c>
      <c r="K6" s="4" t="str">
        <f t="shared" si="0"/>
        <v>10</v>
      </c>
      <c r="L6" t="s">
        <v>95</v>
      </c>
      <c r="M6">
        <v>5</v>
      </c>
      <c r="N6" t="s">
        <v>36</v>
      </c>
      <c r="O6" t="s">
        <v>96</v>
      </c>
      <c r="P6">
        <v>150</v>
      </c>
      <c r="Q6">
        <v>24.35</v>
      </c>
      <c r="R6">
        <v>648000</v>
      </c>
      <c r="S6">
        <v>8</v>
      </c>
      <c r="AA6">
        <v>10</v>
      </c>
      <c r="AB6" t="s">
        <v>38</v>
      </c>
      <c r="AC6" t="s">
        <v>39</v>
      </c>
      <c r="AD6">
        <v>45</v>
      </c>
    </row>
    <row r="7" spans="1:30" x14ac:dyDescent="0.25">
      <c r="A7" t="s">
        <v>29</v>
      </c>
      <c r="B7" t="s">
        <v>30</v>
      </c>
      <c r="C7" t="s">
        <v>31</v>
      </c>
      <c r="D7">
        <v>7082000</v>
      </c>
      <c r="E7" t="s">
        <v>51</v>
      </c>
      <c r="F7" t="s">
        <v>58</v>
      </c>
      <c r="G7">
        <v>-30.262517684946168</v>
      </c>
      <c r="H7">
        <v>-56.917396155772813</v>
      </c>
      <c r="I7" t="s">
        <v>85</v>
      </c>
      <c r="J7">
        <v>10600</v>
      </c>
      <c r="K7" s="4" t="str">
        <f t="shared" si="0"/>
        <v>10</v>
      </c>
      <c r="L7" t="s">
        <v>104</v>
      </c>
      <c r="M7">
        <v>4</v>
      </c>
      <c r="N7" t="s">
        <v>105</v>
      </c>
      <c r="O7" t="s">
        <v>106</v>
      </c>
      <c r="P7">
        <v>1300</v>
      </c>
      <c r="Q7">
        <v>162.62</v>
      </c>
      <c r="R7">
        <v>7082000</v>
      </c>
      <c r="S7">
        <v>10.199999999999999</v>
      </c>
      <c r="AA7">
        <v>10</v>
      </c>
      <c r="AB7" t="s">
        <v>57</v>
      </c>
      <c r="AC7" t="s">
        <v>39</v>
      </c>
    </row>
    <row r="8" spans="1:30" x14ac:dyDescent="0.25">
      <c r="A8" t="s">
        <v>29</v>
      </c>
      <c r="B8" t="s">
        <v>30</v>
      </c>
      <c r="C8" t="s">
        <v>31</v>
      </c>
      <c r="D8">
        <v>2963000</v>
      </c>
      <c r="E8" t="s">
        <v>51</v>
      </c>
      <c r="F8" t="s">
        <v>58</v>
      </c>
      <c r="G8">
        <v>-30.906363419906022</v>
      </c>
      <c r="H8">
        <v>-56.563942052570965</v>
      </c>
      <c r="I8" t="s">
        <v>42</v>
      </c>
      <c r="J8">
        <v>10810</v>
      </c>
      <c r="K8" s="4" t="str">
        <f t="shared" si="0"/>
        <v>10</v>
      </c>
      <c r="L8" t="s">
        <v>107</v>
      </c>
      <c r="N8" t="s">
        <v>36</v>
      </c>
      <c r="O8" t="s">
        <v>108</v>
      </c>
      <c r="P8">
        <v>341</v>
      </c>
      <c r="Q8">
        <v>95.1</v>
      </c>
      <c r="R8">
        <v>2963000</v>
      </c>
      <c r="S8">
        <v>8.9</v>
      </c>
      <c r="AA8">
        <v>10</v>
      </c>
      <c r="AB8" t="s">
        <v>57</v>
      </c>
      <c r="AC8" t="s">
        <v>39</v>
      </c>
    </row>
    <row r="9" spans="1:30" x14ac:dyDescent="0.25">
      <c r="A9" t="s">
        <v>29</v>
      </c>
      <c r="B9" t="s">
        <v>30</v>
      </c>
      <c r="C9" t="s">
        <v>31</v>
      </c>
      <c r="D9">
        <v>2753000</v>
      </c>
      <c r="E9" t="s">
        <v>51</v>
      </c>
      <c r="F9" t="s">
        <v>58</v>
      </c>
      <c r="G9">
        <v>-30.320163569508441</v>
      </c>
      <c r="H9">
        <v>-56.756898792117553</v>
      </c>
      <c r="I9" t="s">
        <v>34</v>
      </c>
      <c r="J9">
        <v>10330</v>
      </c>
      <c r="K9" s="4" t="str">
        <f t="shared" si="0"/>
        <v>10</v>
      </c>
      <c r="L9" t="s">
        <v>114</v>
      </c>
      <c r="M9">
        <v>4</v>
      </c>
      <c r="N9" t="s">
        <v>115</v>
      </c>
      <c r="O9" t="s">
        <v>116</v>
      </c>
      <c r="P9">
        <v>795</v>
      </c>
      <c r="Q9">
        <v>92.38</v>
      </c>
      <c r="R9">
        <v>2753000</v>
      </c>
      <c r="S9">
        <v>11.3</v>
      </c>
      <c r="AA9">
        <v>10</v>
      </c>
      <c r="AB9" t="s">
        <v>57</v>
      </c>
      <c r="AC9" t="s">
        <v>39</v>
      </c>
      <c r="AD9">
        <v>0</v>
      </c>
    </row>
    <row r="10" spans="1:30" x14ac:dyDescent="0.25">
      <c r="A10" t="s">
        <v>29</v>
      </c>
      <c r="B10" t="s">
        <v>30</v>
      </c>
      <c r="C10" t="s">
        <v>31</v>
      </c>
      <c r="D10">
        <v>2801000</v>
      </c>
      <c r="E10" t="s">
        <v>51</v>
      </c>
      <c r="F10" t="s">
        <v>58</v>
      </c>
      <c r="G10">
        <v>-30.237525314500459</v>
      </c>
      <c r="H10">
        <v>-56.640786663480327</v>
      </c>
      <c r="I10" t="s">
        <v>85</v>
      </c>
      <c r="J10">
        <v>10720</v>
      </c>
      <c r="K10" s="4" t="str">
        <f t="shared" si="0"/>
        <v>10</v>
      </c>
      <c r="L10" t="s">
        <v>128</v>
      </c>
      <c r="M10">
        <v>2</v>
      </c>
      <c r="N10" t="s">
        <v>81</v>
      </c>
      <c r="O10" t="s">
        <v>129</v>
      </c>
      <c r="P10">
        <v>1700</v>
      </c>
      <c r="Q10">
        <v>127.54</v>
      </c>
      <c r="R10">
        <v>2801000</v>
      </c>
      <c r="S10">
        <v>7.8</v>
      </c>
      <c r="AA10">
        <v>10</v>
      </c>
      <c r="AB10" t="s">
        <v>38</v>
      </c>
      <c r="AC10" t="s">
        <v>39</v>
      </c>
      <c r="AD10">
        <v>42</v>
      </c>
    </row>
    <row r="11" spans="1:30" x14ac:dyDescent="0.25">
      <c r="A11" t="s">
        <v>29</v>
      </c>
      <c r="B11" t="s">
        <v>30</v>
      </c>
      <c r="C11" t="s">
        <v>31</v>
      </c>
      <c r="D11">
        <v>478000</v>
      </c>
      <c r="E11" t="s">
        <v>51</v>
      </c>
      <c r="F11" t="s">
        <v>97</v>
      </c>
      <c r="G11">
        <v>-30.270316757603879</v>
      </c>
      <c r="H11">
        <v>-56.846822212270766</v>
      </c>
      <c r="I11" t="s">
        <v>42</v>
      </c>
      <c r="J11">
        <v>10500</v>
      </c>
      <c r="K11" s="4" t="str">
        <f t="shared" si="0"/>
        <v>10</v>
      </c>
      <c r="L11" t="s">
        <v>146</v>
      </c>
      <c r="M11">
        <v>4</v>
      </c>
      <c r="N11" t="s">
        <v>147</v>
      </c>
      <c r="O11" t="s">
        <v>148</v>
      </c>
      <c r="P11">
        <v>400</v>
      </c>
      <c r="Q11">
        <v>16.3</v>
      </c>
      <c r="R11">
        <v>478000</v>
      </c>
      <c r="S11">
        <v>9.9</v>
      </c>
      <c r="AA11">
        <v>10</v>
      </c>
      <c r="AB11" t="s">
        <v>38</v>
      </c>
      <c r="AC11" t="s">
        <v>39</v>
      </c>
      <c r="AD11">
        <v>0</v>
      </c>
    </row>
    <row r="12" spans="1:30" x14ac:dyDescent="0.25">
      <c r="A12" t="s">
        <v>29</v>
      </c>
      <c r="B12" t="s">
        <v>30</v>
      </c>
      <c r="C12" t="s">
        <v>31</v>
      </c>
      <c r="D12">
        <v>2979000</v>
      </c>
      <c r="E12" t="s">
        <v>51</v>
      </c>
      <c r="F12" t="s">
        <v>58</v>
      </c>
      <c r="G12">
        <v>-30.302328530075975</v>
      </c>
      <c r="H12">
        <v>-56.789989726047615</v>
      </c>
      <c r="I12" t="s">
        <v>42</v>
      </c>
      <c r="J12">
        <v>10340</v>
      </c>
      <c r="K12" s="4" t="str">
        <f t="shared" si="0"/>
        <v>10</v>
      </c>
      <c r="L12" t="s">
        <v>114</v>
      </c>
      <c r="M12">
        <v>4</v>
      </c>
      <c r="N12" t="s">
        <v>115</v>
      </c>
      <c r="O12" t="s">
        <v>152</v>
      </c>
      <c r="P12">
        <v>430</v>
      </c>
      <c r="Q12">
        <v>79.77</v>
      </c>
      <c r="R12">
        <v>2979000</v>
      </c>
      <c r="S12">
        <v>9.35</v>
      </c>
      <c r="AA12">
        <v>10</v>
      </c>
      <c r="AB12" t="s">
        <v>57</v>
      </c>
      <c r="AC12" t="s">
        <v>39</v>
      </c>
      <c r="AD12">
        <v>200</v>
      </c>
    </row>
    <row r="13" spans="1:30" x14ac:dyDescent="0.25">
      <c r="A13" t="s">
        <v>29</v>
      </c>
      <c r="B13" t="s">
        <v>30</v>
      </c>
      <c r="C13" t="s">
        <v>31</v>
      </c>
      <c r="D13">
        <v>1690000</v>
      </c>
      <c r="E13" t="s">
        <v>51</v>
      </c>
      <c r="F13" t="s">
        <v>58</v>
      </c>
      <c r="G13">
        <v>-30.145210731465752</v>
      </c>
      <c r="H13">
        <v>-57.024005135799641</v>
      </c>
      <c r="I13" t="s">
        <v>34</v>
      </c>
      <c r="J13">
        <v>10600</v>
      </c>
      <c r="K13" s="4" t="str">
        <f t="shared" si="0"/>
        <v>10</v>
      </c>
      <c r="L13" t="s">
        <v>157</v>
      </c>
      <c r="M13">
        <v>7</v>
      </c>
      <c r="N13" t="s">
        <v>105</v>
      </c>
      <c r="O13" t="s">
        <v>106</v>
      </c>
      <c r="P13">
        <v>730</v>
      </c>
      <c r="Q13">
        <v>96</v>
      </c>
      <c r="R13">
        <v>1690000</v>
      </c>
      <c r="S13">
        <v>7</v>
      </c>
      <c r="AA13">
        <v>10</v>
      </c>
      <c r="AB13" t="s">
        <v>38</v>
      </c>
      <c r="AC13" t="s">
        <v>154</v>
      </c>
    </row>
    <row r="14" spans="1:30" x14ac:dyDescent="0.25">
      <c r="A14" t="s">
        <v>29</v>
      </c>
      <c r="B14" t="s">
        <v>30</v>
      </c>
      <c r="C14" t="s">
        <v>31</v>
      </c>
      <c r="D14">
        <v>495000</v>
      </c>
      <c r="E14" t="s">
        <v>51</v>
      </c>
      <c r="F14" t="s">
        <v>58</v>
      </c>
      <c r="G14">
        <v>-30.758209999999998</v>
      </c>
      <c r="H14">
        <v>-56.676540000000003</v>
      </c>
      <c r="I14" t="s">
        <v>42</v>
      </c>
      <c r="J14">
        <v>10800</v>
      </c>
      <c r="K14" s="4" t="str">
        <f t="shared" si="0"/>
        <v>10</v>
      </c>
      <c r="L14" t="s">
        <v>168</v>
      </c>
      <c r="M14">
        <v>2</v>
      </c>
      <c r="N14" t="s">
        <v>36</v>
      </c>
      <c r="O14" t="s">
        <v>45</v>
      </c>
      <c r="P14">
        <v>280</v>
      </c>
      <c r="Q14">
        <v>24.5</v>
      </c>
      <c r="R14">
        <v>495000</v>
      </c>
      <c r="S14">
        <v>7.5</v>
      </c>
      <c r="AA14">
        <v>10</v>
      </c>
      <c r="AB14" t="s">
        <v>38</v>
      </c>
      <c r="AC14" t="s">
        <v>39</v>
      </c>
      <c r="AD14">
        <v>60</v>
      </c>
    </row>
    <row r="15" spans="1:30" x14ac:dyDescent="0.25">
      <c r="A15" t="s">
        <v>29</v>
      </c>
      <c r="B15" t="s">
        <v>30</v>
      </c>
      <c r="C15" t="s">
        <v>31</v>
      </c>
      <c r="D15">
        <v>145550</v>
      </c>
      <c r="E15" t="s">
        <v>51</v>
      </c>
      <c r="F15" t="s">
        <v>58</v>
      </c>
      <c r="G15">
        <v>-30.766470000000002</v>
      </c>
      <c r="H15">
        <v>-56.679290000000002</v>
      </c>
      <c r="I15" t="s">
        <v>34</v>
      </c>
      <c r="J15">
        <v>10800</v>
      </c>
      <c r="K15" s="4" t="str">
        <f t="shared" si="0"/>
        <v>10</v>
      </c>
      <c r="L15" t="s">
        <v>169</v>
      </c>
      <c r="M15">
        <v>2</v>
      </c>
      <c r="N15" t="s">
        <v>36</v>
      </c>
      <c r="O15" t="s">
        <v>45</v>
      </c>
      <c r="P15">
        <v>870</v>
      </c>
      <c r="Q15">
        <v>6.8</v>
      </c>
      <c r="R15">
        <v>146000</v>
      </c>
      <c r="S15">
        <v>8.4</v>
      </c>
      <c r="AA15">
        <v>10</v>
      </c>
      <c r="AB15" t="s">
        <v>38</v>
      </c>
      <c r="AC15" t="s">
        <v>39</v>
      </c>
      <c r="AD15">
        <v>10</v>
      </c>
    </row>
    <row r="16" spans="1:30" x14ac:dyDescent="0.25">
      <c r="A16" t="s">
        <v>29</v>
      </c>
      <c r="B16" t="s">
        <v>30</v>
      </c>
      <c r="C16" t="s">
        <v>31</v>
      </c>
      <c r="D16">
        <v>354200</v>
      </c>
      <c r="E16" t="s">
        <v>51</v>
      </c>
      <c r="F16" t="s">
        <v>149</v>
      </c>
      <c r="G16">
        <v>-30.683309999999999</v>
      </c>
      <c r="H16">
        <v>-56.335790000000003</v>
      </c>
      <c r="I16" t="s">
        <v>42</v>
      </c>
      <c r="J16">
        <v>10220</v>
      </c>
      <c r="K16" s="4" t="str">
        <f t="shared" si="0"/>
        <v>10</v>
      </c>
      <c r="L16" t="s">
        <v>182</v>
      </c>
      <c r="M16">
        <v>3</v>
      </c>
      <c r="N16" t="s">
        <v>183</v>
      </c>
      <c r="O16" t="s">
        <v>45</v>
      </c>
      <c r="P16">
        <v>335</v>
      </c>
      <c r="Q16">
        <v>15.75</v>
      </c>
      <c r="R16">
        <v>354200</v>
      </c>
      <c r="S16">
        <v>7.1</v>
      </c>
      <c r="AA16">
        <v>10</v>
      </c>
      <c r="AB16" t="s">
        <v>38</v>
      </c>
      <c r="AC16" t="s">
        <v>39</v>
      </c>
      <c r="AD16">
        <v>60</v>
      </c>
    </row>
    <row r="17" spans="1:30" x14ac:dyDescent="0.25">
      <c r="A17" t="s">
        <v>29</v>
      </c>
      <c r="B17" t="s">
        <v>30</v>
      </c>
      <c r="C17" t="s">
        <v>31</v>
      </c>
      <c r="D17">
        <v>2530000</v>
      </c>
      <c r="E17" t="s">
        <v>51</v>
      </c>
      <c r="F17" t="s">
        <v>58</v>
      </c>
      <c r="G17">
        <v>-30.254539999999999</v>
      </c>
      <c r="H17">
        <v>-56.732289999999999</v>
      </c>
      <c r="I17" t="s">
        <v>85</v>
      </c>
      <c r="J17">
        <v>10340</v>
      </c>
      <c r="K17" s="4" t="str">
        <f t="shared" si="0"/>
        <v>10</v>
      </c>
      <c r="L17" t="s">
        <v>198</v>
      </c>
      <c r="M17">
        <v>4</v>
      </c>
      <c r="N17" t="s">
        <v>115</v>
      </c>
      <c r="O17" t="s">
        <v>56</v>
      </c>
      <c r="P17">
        <v>980</v>
      </c>
      <c r="Q17">
        <v>69.84</v>
      </c>
      <c r="R17">
        <v>2530000</v>
      </c>
      <c r="S17">
        <v>13.75</v>
      </c>
      <c r="AA17">
        <v>10</v>
      </c>
      <c r="AB17" t="s">
        <v>38</v>
      </c>
      <c r="AC17" t="s">
        <v>39</v>
      </c>
      <c r="AD17">
        <v>170</v>
      </c>
    </row>
    <row r="18" spans="1:30" x14ac:dyDescent="0.25">
      <c r="A18" t="s">
        <v>29</v>
      </c>
      <c r="B18" t="s">
        <v>30</v>
      </c>
      <c r="C18" t="s">
        <v>31</v>
      </c>
      <c r="D18">
        <v>1968310</v>
      </c>
      <c r="E18" t="s">
        <v>51</v>
      </c>
      <c r="F18" t="s">
        <v>58</v>
      </c>
      <c r="G18">
        <v>-30.47709</v>
      </c>
      <c r="H18">
        <v>-57.373289999999997</v>
      </c>
      <c r="I18" t="s">
        <v>42</v>
      </c>
      <c r="J18">
        <v>10930</v>
      </c>
      <c r="K18" s="4" t="str">
        <f t="shared" si="0"/>
        <v>10</v>
      </c>
      <c r="L18" t="s">
        <v>199</v>
      </c>
      <c r="M18">
        <v>9</v>
      </c>
      <c r="N18" t="s">
        <v>83</v>
      </c>
      <c r="O18" t="s">
        <v>56</v>
      </c>
      <c r="P18">
        <v>390</v>
      </c>
      <c r="Q18">
        <v>74.95</v>
      </c>
      <c r="R18">
        <v>1968310</v>
      </c>
      <c r="S18">
        <v>8.1999999999999993</v>
      </c>
      <c r="AA18">
        <v>10</v>
      </c>
      <c r="AB18" t="s">
        <v>38</v>
      </c>
      <c r="AC18" t="s">
        <v>39</v>
      </c>
      <c r="AD18">
        <v>150</v>
      </c>
    </row>
    <row r="19" spans="1:30" x14ac:dyDescent="0.25">
      <c r="A19" t="s">
        <v>29</v>
      </c>
      <c r="B19" t="s">
        <v>30</v>
      </c>
      <c r="C19" t="s">
        <v>31</v>
      </c>
      <c r="D19">
        <v>1229050</v>
      </c>
      <c r="E19" t="s">
        <v>67</v>
      </c>
      <c r="F19" t="s">
        <v>149</v>
      </c>
      <c r="G19">
        <v>-30.414380000000001</v>
      </c>
      <c r="H19">
        <v>-57.383110000000002</v>
      </c>
      <c r="I19" t="s">
        <v>42</v>
      </c>
      <c r="J19">
        <v>10940</v>
      </c>
      <c r="K19" s="4" t="str">
        <f t="shared" si="0"/>
        <v>10</v>
      </c>
      <c r="L19" t="s">
        <v>209</v>
      </c>
      <c r="N19" t="s">
        <v>83</v>
      </c>
      <c r="O19" t="s">
        <v>210</v>
      </c>
      <c r="P19">
        <v>340</v>
      </c>
      <c r="Q19">
        <v>58</v>
      </c>
      <c r="R19">
        <v>1229050</v>
      </c>
      <c r="S19">
        <v>7</v>
      </c>
      <c r="AA19">
        <v>10</v>
      </c>
      <c r="AB19" t="s">
        <v>38</v>
      </c>
      <c r="AC19" t="s">
        <v>39</v>
      </c>
    </row>
    <row r="20" spans="1:30" x14ac:dyDescent="0.25">
      <c r="A20" t="s">
        <v>29</v>
      </c>
      <c r="B20" t="s">
        <v>30</v>
      </c>
      <c r="C20" t="s">
        <v>31</v>
      </c>
      <c r="D20">
        <v>1901000</v>
      </c>
      <c r="E20" t="s">
        <v>51</v>
      </c>
      <c r="F20" t="s">
        <v>58</v>
      </c>
      <c r="G20">
        <v>-30.199380000000001</v>
      </c>
      <c r="H20">
        <v>-56.77167</v>
      </c>
      <c r="I20" t="s">
        <v>85</v>
      </c>
      <c r="J20">
        <v>10340</v>
      </c>
      <c r="K20" s="4" t="str">
        <f t="shared" si="0"/>
        <v>10</v>
      </c>
      <c r="L20" t="s">
        <v>211</v>
      </c>
      <c r="M20">
        <v>4</v>
      </c>
      <c r="N20" t="s">
        <v>115</v>
      </c>
      <c r="O20" t="s">
        <v>56</v>
      </c>
      <c r="P20">
        <v>1120</v>
      </c>
      <c r="Q20">
        <v>54.64</v>
      </c>
      <c r="R20">
        <v>1901000</v>
      </c>
      <c r="S20">
        <v>11.46</v>
      </c>
      <c r="AA20">
        <v>10</v>
      </c>
      <c r="AB20" t="s">
        <v>38</v>
      </c>
      <c r="AC20" t="s">
        <v>39</v>
      </c>
      <c r="AD20">
        <v>150</v>
      </c>
    </row>
    <row r="21" spans="1:30" x14ac:dyDescent="0.25">
      <c r="A21" t="s">
        <v>29</v>
      </c>
      <c r="B21" t="s">
        <v>30</v>
      </c>
      <c r="C21" t="s">
        <v>31</v>
      </c>
      <c r="D21">
        <v>15113</v>
      </c>
      <c r="E21" t="s">
        <v>51</v>
      </c>
      <c r="F21" t="s">
        <v>120</v>
      </c>
      <c r="G21">
        <v>-30.467089999999999</v>
      </c>
      <c r="H21">
        <v>-56.649920000000002</v>
      </c>
      <c r="I21" t="s">
        <v>53</v>
      </c>
      <c r="J21">
        <v>10710</v>
      </c>
      <c r="K21" s="4" t="str">
        <f t="shared" si="0"/>
        <v>10</v>
      </c>
      <c r="L21" t="s">
        <v>248</v>
      </c>
      <c r="M21">
        <v>10</v>
      </c>
      <c r="N21" t="s">
        <v>81</v>
      </c>
      <c r="O21" t="s">
        <v>56</v>
      </c>
      <c r="P21">
        <v>3</v>
      </c>
      <c r="Q21">
        <v>2.54</v>
      </c>
      <c r="R21">
        <v>46000</v>
      </c>
      <c r="S21">
        <v>6.7</v>
      </c>
      <c r="AA21">
        <v>10</v>
      </c>
      <c r="AB21" t="s">
        <v>38</v>
      </c>
      <c r="AC21" t="s">
        <v>50</v>
      </c>
      <c r="AD21">
        <v>42</v>
      </c>
    </row>
    <row r="22" spans="1:30" x14ac:dyDescent="0.25">
      <c r="A22" t="s">
        <v>29</v>
      </c>
      <c r="B22" t="s">
        <v>30</v>
      </c>
      <c r="C22" t="s">
        <v>31</v>
      </c>
      <c r="D22">
        <v>6255000</v>
      </c>
      <c r="E22" t="s">
        <v>51</v>
      </c>
      <c r="F22" t="s">
        <v>58</v>
      </c>
      <c r="G22">
        <v>-30.342760504823936</v>
      </c>
      <c r="H22">
        <v>-57.114846135171426</v>
      </c>
      <c r="I22" t="s">
        <v>85</v>
      </c>
      <c r="J22">
        <v>10860</v>
      </c>
      <c r="K22" s="4" t="str">
        <f t="shared" si="0"/>
        <v>10</v>
      </c>
      <c r="L22" t="s">
        <v>249</v>
      </c>
      <c r="N22" t="s">
        <v>36</v>
      </c>
      <c r="O22" t="s">
        <v>71</v>
      </c>
      <c r="P22">
        <v>1300</v>
      </c>
      <c r="Q22">
        <v>144</v>
      </c>
      <c r="R22">
        <v>6255000</v>
      </c>
      <c r="S22">
        <v>11.9</v>
      </c>
      <c r="AA22">
        <v>10</v>
      </c>
      <c r="AB22" t="s">
        <v>65</v>
      </c>
      <c r="AC22" t="s">
        <v>39</v>
      </c>
      <c r="AD22">
        <v>0</v>
      </c>
    </row>
    <row r="23" spans="1:30" x14ac:dyDescent="0.25">
      <c r="A23" t="s">
        <v>29</v>
      </c>
      <c r="B23" t="s">
        <v>30</v>
      </c>
      <c r="C23" t="s">
        <v>31</v>
      </c>
      <c r="D23">
        <v>1905000</v>
      </c>
      <c r="E23" t="s">
        <v>51</v>
      </c>
      <c r="F23" t="s">
        <v>58</v>
      </c>
      <c r="G23">
        <v>-30.220849999999999</v>
      </c>
      <c r="H23">
        <v>-57.099780000000003</v>
      </c>
      <c r="I23" t="s">
        <v>42</v>
      </c>
      <c r="J23">
        <v>10610</v>
      </c>
      <c r="K23" s="4" t="str">
        <f t="shared" si="0"/>
        <v>10</v>
      </c>
      <c r="L23" t="s">
        <v>263</v>
      </c>
      <c r="M23">
        <v>4</v>
      </c>
      <c r="N23" t="s">
        <v>105</v>
      </c>
      <c r="O23" t="s">
        <v>264</v>
      </c>
      <c r="P23">
        <v>380</v>
      </c>
      <c r="Q23">
        <v>70.78</v>
      </c>
      <c r="R23">
        <v>1905000</v>
      </c>
      <c r="S23">
        <v>7.32</v>
      </c>
      <c r="AA23">
        <v>10</v>
      </c>
      <c r="AB23" t="s">
        <v>38</v>
      </c>
      <c r="AC23" t="s">
        <v>39</v>
      </c>
      <c r="AD23">
        <v>62.6</v>
      </c>
    </row>
    <row r="24" spans="1:30" x14ac:dyDescent="0.25">
      <c r="A24" t="s">
        <v>29</v>
      </c>
      <c r="B24" t="s">
        <v>30</v>
      </c>
      <c r="C24" t="s">
        <v>31</v>
      </c>
      <c r="D24">
        <v>4389000</v>
      </c>
      <c r="E24" t="s">
        <v>51</v>
      </c>
      <c r="F24" t="s">
        <v>58</v>
      </c>
      <c r="G24">
        <v>-30.334305455756496</v>
      </c>
      <c r="H24">
        <v>-57.148006075226292</v>
      </c>
      <c r="I24" t="s">
        <v>85</v>
      </c>
      <c r="J24">
        <v>10860</v>
      </c>
      <c r="K24" s="4" t="str">
        <f t="shared" si="0"/>
        <v>10</v>
      </c>
      <c r="L24" t="s">
        <v>265</v>
      </c>
      <c r="M24">
        <v>5</v>
      </c>
      <c r="N24" t="s">
        <v>36</v>
      </c>
      <c r="O24" t="s">
        <v>71</v>
      </c>
      <c r="P24">
        <v>3440</v>
      </c>
      <c r="Q24">
        <v>190.69</v>
      </c>
      <c r="R24">
        <v>4388000</v>
      </c>
      <c r="S24">
        <v>9.6999999999999993</v>
      </c>
      <c r="AA24">
        <v>10</v>
      </c>
      <c r="AB24" t="s">
        <v>57</v>
      </c>
      <c r="AC24" t="s">
        <v>39</v>
      </c>
      <c r="AD24">
        <v>180</v>
      </c>
    </row>
    <row r="25" spans="1:30" x14ac:dyDescent="0.25">
      <c r="A25" t="s">
        <v>29</v>
      </c>
      <c r="B25" t="s">
        <v>30</v>
      </c>
      <c r="C25" t="s">
        <v>31</v>
      </c>
      <c r="D25">
        <v>2062000</v>
      </c>
      <c r="E25" t="s">
        <v>51</v>
      </c>
      <c r="F25" t="s">
        <v>58</v>
      </c>
      <c r="G25">
        <v>-30.496581024197656</v>
      </c>
      <c r="H25">
        <v>-57.393942839681948</v>
      </c>
      <c r="I25" t="s">
        <v>85</v>
      </c>
      <c r="J25">
        <v>10930</v>
      </c>
      <c r="K25" s="4" t="str">
        <f t="shared" si="0"/>
        <v>10</v>
      </c>
      <c r="L25" t="s">
        <v>266</v>
      </c>
      <c r="M25">
        <v>9</v>
      </c>
      <c r="N25" t="s">
        <v>83</v>
      </c>
      <c r="O25" t="s">
        <v>267</v>
      </c>
      <c r="P25">
        <v>1380</v>
      </c>
      <c r="Q25">
        <v>113.6</v>
      </c>
      <c r="R25">
        <v>2062000</v>
      </c>
      <c r="S25">
        <v>7.5</v>
      </c>
      <c r="AA25">
        <v>10</v>
      </c>
      <c r="AB25" t="s">
        <v>57</v>
      </c>
      <c r="AC25" t="s">
        <v>39</v>
      </c>
      <c r="AD25">
        <v>150</v>
      </c>
    </row>
    <row r="26" spans="1:30" x14ac:dyDescent="0.25">
      <c r="A26" t="s">
        <v>29</v>
      </c>
      <c r="B26" t="s">
        <v>30</v>
      </c>
      <c r="C26" t="s">
        <v>31</v>
      </c>
      <c r="D26">
        <v>6068000</v>
      </c>
      <c r="E26" t="s">
        <v>51</v>
      </c>
      <c r="F26" t="s">
        <v>58</v>
      </c>
      <c r="G26">
        <v>-30.789638378050761</v>
      </c>
      <c r="H26">
        <v>-56.975679063900202</v>
      </c>
      <c r="I26" t="s">
        <v>85</v>
      </c>
      <c r="J26">
        <v>10841</v>
      </c>
      <c r="K26" s="4" t="str">
        <f t="shared" si="0"/>
        <v>10</v>
      </c>
      <c r="L26" t="s">
        <v>268</v>
      </c>
      <c r="M26">
        <v>5</v>
      </c>
      <c r="N26" t="s">
        <v>36</v>
      </c>
      <c r="O26" t="s">
        <v>269</v>
      </c>
      <c r="P26">
        <v>2340</v>
      </c>
      <c r="Q26">
        <v>185</v>
      </c>
      <c r="R26">
        <v>6068000</v>
      </c>
      <c r="S26">
        <v>11.9</v>
      </c>
      <c r="AA26">
        <v>10</v>
      </c>
      <c r="AB26" t="s">
        <v>57</v>
      </c>
      <c r="AC26" t="s">
        <v>39</v>
      </c>
    </row>
    <row r="27" spans="1:30" x14ac:dyDescent="0.25">
      <c r="A27" t="s">
        <v>29</v>
      </c>
      <c r="B27" t="s">
        <v>30</v>
      </c>
      <c r="C27" t="s">
        <v>31</v>
      </c>
      <c r="D27">
        <v>1211000</v>
      </c>
      <c r="E27" t="s">
        <v>51</v>
      </c>
      <c r="F27" t="s">
        <v>58</v>
      </c>
      <c r="G27">
        <v>-30.774805127549968</v>
      </c>
      <c r="H27">
        <v>-57.004947625100613</v>
      </c>
      <c r="I27" t="s">
        <v>42</v>
      </c>
      <c r="J27">
        <v>10841</v>
      </c>
      <c r="K27" s="4" t="str">
        <f t="shared" si="0"/>
        <v>10</v>
      </c>
      <c r="L27" t="s">
        <v>274</v>
      </c>
      <c r="M27">
        <v>5</v>
      </c>
      <c r="N27" t="s">
        <v>36</v>
      </c>
      <c r="O27" t="s">
        <v>56</v>
      </c>
      <c r="P27">
        <v>290</v>
      </c>
      <c r="Q27">
        <v>41.27</v>
      </c>
      <c r="R27">
        <v>1211000</v>
      </c>
      <c r="S27">
        <v>9</v>
      </c>
      <c r="AA27">
        <v>10</v>
      </c>
      <c r="AB27" t="s">
        <v>57</v>
      </c>
      <c r="AC27" t="s">
        <v>39</v>
      </c>
      <c r="AD27">
        <v>130</v>
      </c>
    </row>
    <row r="28" spans="1:30" x14ac:dyDescent="0.25">
      <c r="A28" t="s">
        <v>29</v>
      </c>
      <c r="B28" t="s">
        <v>30</v>
      </c>
      <c r="C28" t="s">
        <v>31</v>
      </c>
      <c r="D28">
        <v>3017000</v>
      </c>
      <c r="E28" t="s">
        <v>51</v>
      </c>
      <c r="F28" t="s">
        <v>58</v>
      </c>
      <c r="G28">
        <v>-30.404386777351668</v>
      </c>
      <c r="H28">
        <v>-56.773919910192475</v>
      </c>
      <c r="I28" t="s">
        <v>85</v>
      </c>
      <c r="J28">
        <v>10720</v>
      </c>
      <c r="K28" s="4" t="str">
        <f t="shared" si="0"/>
        <v>10</v>
      </c>
      <c r="L28" t="s">
        <v>281</v>
      </c>
      <c r="M28">
        <v>1</v>
      </c>
      <c r="N28" t="s">
        <v>81</v>
      </c>
      <c r="O28" t="s">
        <v>282</v>
      </c>
      <c r="P28">
        <v>1200</v>
      </c>
      <c r="Q28">
        <v>73.3</v>
      </c>
      <c r="R28">
        <v>3017000</v>
      </c>
      <c r="S28">
        <v>11</v>
      </c>
      <c r="AA28">
        <v>10</v>
      </c>
      <c r="AB28" t="s">
        <v>38</v>
      </c>
      <c r="AC28" t="s">
        <v>39</v>
      </c>
      <c r="AD28">
        <v>230</v>
      </c>
    </row>
    <row r="29" spans="1:30" x14ac:dyDescent="0.25">
      <c r="A29" t="s">
        <v>29</v>
      </c>
      <c r="B29" t="s">
        <v>30</v>
      </c>
      <c r="C29" t="s">
        <v>31</v>
      </c>
      <c r="D29">
        <v>2261000</v>
      </c>
      <c r="E29" t="s">
        <v>51</v>
      </c>
      <c r="F29" t="s">
        <v>58</v>
      </c>
      <c r="G29">
        <v>-30.330553467044076</v>
      </c>
      <c r="H29">
        <v>-56.575308325700455</v>
      </c>
      <c r="I29" t="s">
        <v>85</v>
      </c>
      <c r="J29">
        <v>10310</v>
      </c>
      <c r="K29" s="4" t="str">
        <f t="shared" si="0"/>
        <v>10</v>
      </c>
      <c r="L29" t="s">
        <v>286</v>
      </c>
      <c r="M29">
        <v>2</v>
      </c>
      <c r="N29" t="s">
        <v>115</v>
      </c>
      <c r="O29" t="s">
        <v>287</v>
      </c>
      <c r="P29">
        <v>1701</v>
      </c>
      <c r="Q29">
        <v>87.1</v>
      </c>
      <c r="R29">
        <v>2261000</v>
      </c>
      <c r="S29">
        <v>7.95</v>
      </c>
      <c r="AA29">
        <v>10</v>
      </c>
      <c r="AB29" t="s">
        <v>38</v>
      </c>
      <c r="AC29" t="s">
        <v>39</v>
      </c>
      <c r="AD29">
        <v>150</v>
      </c>
    </row>
    <row r="30" spans="1:30" x14ac:dyDescent="0.25">
      <c r="A30" t="s">
        <v>29</v>
      </c>
      <c r="B30" t="s">
        <v>30</v>
      </c>
      <c r="C30" t="s">
        <v>31</v>
      </c>
      <c r="D30">
        <v>1650000</v>
      </c>
      <c r="E30" t="s">
        <v>51</v>
      </c>
      <c r="F30" t="s">
        <v>58</v>
      </c>
      <c r="G30">
        <v>-30.257688250049284</v>
      </c>
      <c r="H30">
        <v>-57.031233430607237</v>
      </c>
      <c r="I30" t="s">
        <v>42</v>
      </c>
      <c r="J30">
        <v>10744</v>
      </c>
      <c r="K30" s="4" t="str">
        <f t="shared" si="0"/>
        <v>10</v>
      </c>
      <c r="L30" t="s">
        <v>288</v>
      </c>
      <c r="M30">
        <v>4</v>
      </c>
      <c r="N30" t="s">
        <v>81</v>
      </c>
      <c r="O30" t="s">
        <v>269</v>
      </c>
      <c r="P30">
        <v>340</v>
      </c>
      <c r="Q30">
        <v>46.8</v>
      </c>
      <c r="R30">
        <v>1650000</v>
      </c>
      <c r="S30">
        <v>11.5</v>
      </c>
      <c r="AA30">
        <v>10</v>
      </c>
      <c r="AB30" t="s">
        <v>38</v>
      </c>
      <c r="AC30" t="s">
        <v>39</v>
      </c>
      <c r="AD30">
        <v>120</v>
      </c>
    </row>
    <row r="31" spans="1:30" x14ac:dyDescent="0.25">
      <c r="A31" t="s">
        <v>29</v>
      </c>
      <c r="B31" t="s">
        <v>30</v>
      </c>
      <c r="C31" t="s">
        <v>31</v>
      </c>
      <c r="D31">
        <v>1460000</v>
      </c>
      <c r="E31" t="s">
        <v>51</v>
      </c>
      <c r="F31" t="s">
        <v>58</v>
      </c>
      <c r="G31">
        <v>-30.328108706380135</v>
      </c>
      <c r="H31">
        <v>-57.395420554094002</v>
      </c>
      <c r="I31" t="s">
        <v>85</v>
      </c>
      <c r="J31">
        <v>10950</v>
      </c>
      <c r="K31" s="4" t="str">
        <f t="shared" si="0"/>
        <v>10</v>
      </c>
      <c r="L31" t="s">
        <v>289</v>
      </c>
      <c r="M31">
        <v>9</v>
      </c>
      <c r="N31" t="s">
        <v>83</v>
      </c>
      <c r="O31" t="s">
        <v>84</v>
      </c>
      <c r="P31">
        <v>2500</v>
      </c>
      <c r="Q31">
        <v>84.9</v>
      </c>
      <c r="R31">
        <v>1460000</v>
      </c>
      <c r="S31">
        <v>8</v>
      </c>
      <c r="AA31">
        <v>10</v>
      </c>
      <c r="AB31" t="s">
        <v>38</v>
      </c>
      <c r="AC31" t="s">
        <v>39</v>
      </c>
      <c r="AD31">
        <v>225</v>
      </c>
    </row>
    <row r="32" spans="1:30" x14ac:dyDescent="0.25">
      <c r="A32" t="s">
        <v>29</v>
      </c>
      <c r="B32" t="s">
        <v>30</v>
      </c>
      <c r="C32" t="s">
        <v>31</v>
      </c>
      <c r="D32">
        <v>6133920</v>
      </c>
      <c r="E32" t="s">
        <v>51</v>
      </c>
      <c r="F32" t="s">
        <v>58</v>
      </c>
      <c r="G32">
        <v>-30.894020123928442</v>
      </c>
      <c r="H32">
        <v>-56.495571616105721</v>
      </c>
      <c r="I32" t="s">
        <v>85</v>
      </c>
      <c r="J32">
        <v>10810</v>
      </c>
      <c r="K32" s="4" t="str">
        <f t="shared" si="0"/>
        <v>10</v>
      </c>
      <c r="L32" t="s">
        <v>290</v>
      </c>
      <c r="M32">
        <v>6</v>
      </c>
      <c r="N32" t="s">
        <v>36</v>
      </c>
      <c r="O32" t="s">
        <v>282</v>
      </c>
      <c r="P32">
        <v>2205</v>
      </c>
      <c r="Q32">
        <v>215</v>
      </c>
      <c r="R32">
        <v>6133920</v>
      </c>
      <c r="S32">
        <v>12.2</v>
      </c>
      <c r="AA32">
        <v>10</v>
      </c>
      <c r="AB32" t="s">
        <v>38</v>
      </c>
      <c r="AC32" t="s">
        <v>39</v>
      </c>
    </row>
    <row r="33" spans="1:30" x14ac:dyDescent="0.25">
      <c r="A33" t="s">
        <v>29</v>
      </c>
      <c r="B33" t="s">
        <v>30</v>
      </c>
      <c r="C33" t="s">
        <v>31</v>
      </c>
      <c r="D33">
        <v>1824950</v>
      </c>
      <c r="E33" t="s">
        <v>51</v>
      </c>
      <c r="F33" t="s">
        <v>58</v>
      </c>
      <c r="G33">
        <v>-30.45187753319879</v>
      </c>
      <c r="H33">
        <v>-57.229590655770153</v>
      </c>
      <c r="I33" t="s">
        <v>34</v>
      </c>
      <c r="J33">
        <v>10860</v>
      </c>
      <c r="K33" s="4" t="str">
        <f t="shared" si="0"/>
        <v>10</v>
      </c>
      <c r="L33" t="s">
        <v>293</v>
      </c>
      <c r="N33" t="s">
        <v>36</v>
      </c>
      <c r="O33" t="s">
        <v>56</v>
      </c>
      <c r="P33">
        <v>531</v>
      </c>
      <c r="Q33">
        <v>74.37</v>
      </c>
      <c r="R33">
        <v>1825000</v>
      </c>
      <c r="S33">
        <v>10.74</v>
      </c>
      <c r="AA33">
        <v>10</v>
      </c>
      <c r="AB33" t="s">
        <v>38</v>
      </c>
      <c r="AC33" t="s">
        <v>39</v>
      </c>
      <c r="AD33">
        <v>120</v>
      </c>
    </row>
    <row r="34" spans="1:30" x14ac:dyDescent="0.25">
      <c r="A34" t="s">
        <v>29</v>
      </c>
      <c r="B34" t="s">
        <v>30</v>
      </c>
      <c r="C34" t="s">
        <v>31</v>
      </c>
      <c r="D34">
        <v>2897405</v>
      </c>
      <c r="E34" t="s">
        <v>51</v>
      </c>
      <c r="F34" t="s">
        <v>58</v>
      </c>
      <c r="G34">
        <v>-30.493695546377559</v>
      </c>
      <c r="H34">
        <v>-56.96429300587625</v>
      </c>
      <c r="I34" t="s">
        <v>34</v>
      </c>
      <c r="J34">
        <v>10846</v>
      </c>
      <c r="K34" s="4" t="str">
        <f t="shared" si="0"/>
        <v>10</v>
      </c>
      <c r="L34" t="s">
        <v>297</v>
      </c>
      <c r="M34">
        <v>5</v>
      </c>
      <c r="N34" t="s">
        <v>36</v>
      </c>
      <c r="O34" t="s">
        <v>298</v>
      </c>
      <c r="P34">
        <v>755</v>
      </c>
      <c r="Q34">
        <v>79.5</v>
      </c>
      <c r="R34">
        <v>2897000</v>
      </c>
      <c r="S34">
        <v>11.9</v>
      </c>
      <c r="AA34">
        <v>10</v>
      </c>
      <c r="AB34" t="s">
        <v>38</v>
      </c>
      <c r="AC34" t="s">
        <v>39</v>
      </c>
      <c r="AD34">
        <v>200</v>
      </c>
    </row>
    <row r="35" spans="1:30" x14ac:dyDescent="0.25">
      <c r="A35" t="s">
        <v>29</v>
      </c>
      <c r="B35" t="s">
        <v>30</v>
      </c>
      <c r="C35" t="s">
        <v>31</v>
      </c>
      <c r="D35">
        <v>2655</v>
      </c>
      <c r="E35" t="s">
        <v>32</v>
      </c>
      <c r="F35" t="s">
        <v>33</v>
      </c>
      <c r="G35">
        <v>-30.912779520759031</v>
      </c>
      <c r="H35">
        <v>-56.253187716356479</v>
      </c>
      <c r="I35" t="s">
        <v>46</v>
      </c>
      <c r="J35">
        <v>10200</v>
      </c>
      <c r="K35" s="4" t="str">
        <f t="shared" si="0"/>
        <v>10</v>
      </c>
      <c r="L35" t="s">
        <v>308</v>
      </c>
      <c r="M35">
        <v>3</v>
      </c>
      <c r="N35" t="s">
        <v>183</v>
      </c>
      <c r="O35" t="s">
        <v>56</v>
      </c>
      <c r="P35">
        <v>30</v>
      </c>
      <c r="Q35">
        <v>0.46</v>
      </c>
      <c r="R35">
        <v>2655</v>
      </c>
      <c r="S35">
        <v>2.5</v>
      </c>
      <c r="AA35">
        <v>10</v>
      </c>
      <c r="AB35" t="s">
        <v>38</v>
      </c>
      <c r="AC35" t="s">
        <v>50</v>
      </c>
    </row>
    <row r="36" spans="1:30" x14ac:dyDescent="0.25">
      <c r="A36" t="s">
        <v>29</v>
      </c>
      <c r="B36" t="s">
        <v>30</v>
      </c>
      <c r="C36" t="s">
        <v>31</v>
      </c>
      <c r="D36">
        <v>6917</v>
      </c>
      <c r="E36" t="s">
        <v>32</v>
      </c>
      <c r="F36" t="s">
        <v>33</v>
      </c>
      <c r="G36">
        <v>-30.606432399591647</v>
      </c>
      <c r="H36">
        <v>-56.993470431771129</v>
      </c>
      <c r="I36" t="s">
        <v>46</v>
      </c>
      <c r="J36">
        <v>10827</v>
      </c>
      <c r="K36" s="4" t="str">
        <f t="shared" si="0"/>
        <v>10</v>
      </c>
      <c r="L36" t="s">
        <v>310</v>
      </c>
      <c r="M36">
        <v>2</v>
      </c>
      <c r="N36" t="s">
        <v>36</v>
      </c>
      <c r="O36" t="s">
        <v>56</v>
      </c>
      <c r="P36">
        <v>10</v>
      </c>
      <c r="Q36">
        <v>0.8</v>
      </c>
      <c r="R36">
        <v>6917</v>
      </c>
      <c r="S36">
        <v>2.5</v>
      </c>
      <c r="AA36">
        <v>10</v>
      </c>
      <c r="AB36" t="s">
        <v>38</v>
      </c>
      <c r="AC36" t="s">
        <v>50</v>
      </c>
    </row>
    <row r="37" spans="1:30" x14ac:dyDescent="0.25">
      <c r="A37" t="s">
        <v>29</v>
      </c>
      <c r="B37" t="s">
        <v>30</v>
      </c>
      <c r="C37" t="s">
        <v>31</v>
      </c>
      <c r="D37">
        <v>1375</v>
      </c>
      <c r="E37" t="s">
        <v>32</v>
      </c>
      <c r="F37" t="s">
        <v>33</v>
      </c>
      <c r="G37">
        <v>-30.790190674153322</v>
      </c>
      <c r="H37">
        <v>-56.307616353733458</v>
      </c>
      <c r="I37" t="s">
        <v>46</v>
      </c>
      <c r="J37">
        <v>10210</v>
      </c>
      <c r="K37" s="4" t="str">
        <f t="shared" si="0"/>
        <v>10</v>
      </c>
      <c r="L37" t="s">
        <v>311</v>
      </c>
      <c r="M37">
        <v>1</v>
      </c>
      <c r="N37" t="s">
        <v>183</v>
      </c>
      <c r="O37" t="s">
        <v>56</v>
      </c>
      <c r="P37">
        <v>20</v>
      </c>
      <c r="Q37">
        <v>0.2</v>
      </c>
      <c r="R37">
        <v>1375</v>
      </c>
      <c r="S37">
        <v>2.5</v>
      </c>
      <c r="AA37">
        <v>10</v>
      </c>
      <c r="AB37" t="s">
        <v>38</v>
      </c>
      <c r="AC37" t="s">
        <v>50</v>
      </c>
    </row>
    <row r="38" spans="1:30" x14ac:dyDescent="0.25">
      <c r="A38" t="s">
        <v>29</v>
      </c>
      <c r="B38" t="s">
        <v>30</v>
      </c>
      <c r="C38" t="s">
        <v>31</v>
      </c>
      <c r="D38">
        <v>1498500</v>
      </c>
      <c r="E38" t="s">
        <v>51</v>
      </c>
      <c r="F38" t="s">
        <v>58</v>
      </c>
      <c r="G38">
        <v>-30.304228335467286</v>
      </c>
      <c r="H38">
        <v>-57.325721026863896</v>
      </c>
      <c r="I38" t="s">
        <v>42</v>
      </c>
      <c r="J38">
        <v>10940</v>
      </c>
      <c r="K38" s="4" t="str">
        <f t="shared" si="0"/>
        <v>10</v>
      </c>
      <c r="L38" t="s">
        <v>312</v>
      </c>
      <c r="M38">
        <v>9</v>
      </c>
      <c r="N38" t="s">
        <v>83</v>
      </c>
      <c r="O38" t="s">
        <v>56</v>
      </c>
      <c r="P38">
        <v>340</v>
      </c>
      <c r="Q38">
        <v>74.3</v>
      </c>
      <c r="R38">
        <v>1499000</v>
      </c>
      <c r="S38">
        <v>6.4</v>
      </c>
      <c r="AA38">
        <v>10</v>
      </c>
      <c r="AB38" t="s">
        <v>38</v>
      </c>
      <c r="AC38" t="s">
        <v>39</v>
      </c>
      <c r="AD38">
        <v>106.2</v>
      </c>
    </row>
    <row r="39" spans="1:30" x14ac:dyDescent="0.25">
      <c r="A39" t="s">
        <v>29</v>
      </c>
      <c r="B39" t="s">
        <v>30</v>
      </c>
      <c r="C39" t="s">
        <v>31</v>
      </c>
      <c r="D39">
        <v>1985000</v>
      </c>
      <c r="E39" t="s">
        <v>51</v>
      </c>
      <c r="F39" t="s">
        <v>97</v>
      </c>
      <c r="G39">
        <v>-30.356012391039911</v>
      </c>
      <c r="H39">
        <v>-57.363572360482067</v>
      </c>
      <c r="I39" t="s">
        <v>42</v>
      </c>
      <c r="J39">
        <v>10940</v>
      </c>
      <c r="K39" s="4" t="str">
        <f t="shared" si="0"/>
        <v>10</v>
      </c>
      <c r="L39" t="s">
        <v>317</v>
      </c>
      <c r="M39">
        <v>9</v>
      </c>
      <c r="N39" t="s">
        <v>83</v>
      </c>
      <c r="O39" t="s">
        <v>56</v>
      </c>
      <c r="P39">
        <v>370</v>
      </c>
      <c r="Q39">
        <v>81.099999999999994</v>
      </c>
      <c r="R39">
        <v>1985000</v>
      </c>
      <c r="S39">
        <v>8.15</v>
      </c>
      <c r="AA39">
        <v>10</v>
      </c>
      <c r="AB39" t="s">
        <v>38</v>
      </c>
      <c r="AC39" t="s">
        <v>39</v>
      </c>
      <c r="AD39">
        <v>220</v>
      </c>
    </row>
    <row r="40" spans="1:30" x14ac:dyDescent="0.25">
      <c r="A40" t="s">
        <v>29</v>
      </c>
      <c r="B40" t="s">
        <v>30</v>
      </c>
      <c r="C40" t="s">
        <v>31</v>
      </c>
      <c r="D40">
        <v>769232</v>
      </c>
      <c r="E40" t="s">
        <v>51</v>
      </c>
      <c r="F40" t="s">
        <v>58</v>
      </c>
      <c r="G40">
        <v>-30.50299914547432</v>
      </c>
      <c r="H40">
        <v>-57.115690828068175</v>
      </c>
      <c r="I40" t="s">
        <v>42</v>
      </c>
      <c r="J40">
        <v>10850</v>
      </c>
      <c r="K40" s="4" t="str">
        <f t="shared" si="0"/>
        <v>10</v>
      </c>
      <c r="L40" t="s">
        <v>327</v>
      </c>
      <c r="M40">
        <v>9</v>
      </c>
      <c r="N40" t="s">
        <v>36</v>
      </c>
      <c r="O40" t="s">
        <v>328</v>
      </c>
      <c r="P40">
        <v>358</v>
      </c>
      <c r="Q40">
        <v>32.200000000000003</v>
      </c>
      <c r="R40">
        <v>769232</v>
      </c>
      <c r="S40">
        <v>7.1</v>
      </c>
      <c r="AA40">
        <v>10</v>
      </c>
      <c r="AB40" t="s">
        <v>38</v>
      </c>
      <c r="AC40" t="s">
        <v>39</v>
      </c>
      <c r="AD40">
        <v>15</v>
      </c>
    </row>
    <row r="41" spans="1:30" x14ac:dyDescent="0.25">
      <c r="A41" t="s">
        <v>29</v>
      </c>
      <c r="B41" t="s">
        <v>30</v>
      </c>
      <c r="C41" t="s">
        <v>31</v>
      </c>
      <c r="D41">
        <v>819000</v>
      </c>
      <c r="E41" t="s">
        <v>51</v>
      </c>
      <c r="F41" t="s">
        <v>58</v>
      </c>
      <c r="G41">
        <v>-30.355864610944444</v>
      </c>
      <c r="H41">
        <v>-56.624398157000535</v>
      </c>
      <c r="I41" t="s">
        <v>42</v>
      </c>
      <c r="J41">
        <v>10320</v>
      </c>
      <c r="K41" s="4" t="str">
        <f t="shared" si="0"/>
        <v>10</v>
      </c>
      <c r="L41" t="s">
        <v>331</v>
      </c>
      <c r="M41">
        <v>4</v>
      </c>
      <c r="N41" t="s">
        <v>115</v>
      </c>
      <c r="O41" t="s">
        <v>56</v>
      </c>
      <c r="P41">
        <v>236</v>
      </c>
      <c r="Q41">
        <v>18.059999999999999</v>
      </c>
      <c r="R41">
        <v>819178</v>
      </c>
      <c r="S41">
        <v>11.2</v>
      </c>
      <c r="AA41">
        <v>10</v>
      </c>
      <c r="AB41" t="s">
        <v>38</v>
      </c>
      <c r="AC41" t="s">
        <v>39</v>
      </c>
      <c r="AD41">
        <v>60</v>
      </c>
    </row>
    <row r="42" spans="1:30" x14ac:dyDescent="0.25">
      <c r="A42" t="s">
        <v>29</v>
      </c>
      <c r="B42" t="s">
        <v>30</v>
      </c>
      <c r="C42" t="s">
        <v>31</v>
      </c>
      <c r="D42">
        <v>2028000</v>
      </c>
      <c r="E42" t="s">
        <v>51</v>
      </c>
      <c r="F42" t="s">
        <v>58</v>
      </c>
      <c r="G42">
        <v>-30.388424618863599</v>
      </c>
      <c r="H42">
        <v>-57.057197024894492</v>
      </c>
      <c r="I42" t="s">
        <v>42</v>
      </c>
      <c r="J42">
        <v>10740</v>
      </c>
      <c r="K42" s="4" t="str">
        <f t="shared" si="0"/>
        <v>10</v>
      </c>
      <c r="L42" t="s">
        <v>344</v>
      </c>
      <c r="M42">
        <v>5</v>
      </c>
      <c r="N42" t="s">
        <v>81</v>
      </c>
      <c r="O42" t="s">
        <v>56</v>
      </c>
      <c r="P42">
        <v>480</v>
      </c>
      <c r="Q42">
        <v>56.94</v>
      </c>
      <c r="R42">
        <v>2028000</v>
      </c>
      <c r="S42">
        <v>9.9</v>
      </c>
      <c r="AA42">
        <v>10</v>
      </c>
      <c r="AB42" t="s">
        <v>57</v>
      </c>
      <c r="AC42" t="s">
        <v>39</v>
      </c>
      <c r="AD42">
        <v>150</v>
      </c>
    </row>
    <row r="43" spans="1:30" x14ac:dyDescent="0.25">
      <c r="A43" t="s">
        <v>29</v>
      </c>
      <c r="B43" t="s">
        <v>30</v>
      </c>
      <c r="C43" t="s">
        <v>31</v>
      </c>
      <c r="D43">
        <v>3618000</v>
      </c>
      <c r="E43" t="s">
        <v>51</v>
      </c>
      <c r="F43" t="s">
        <v>58</v>
      </c>
      <c r="G43">
        <v>-30.469743943884538</v>
      </c>
      <c r="H43">
        <v>-56.835412589076419</v>
      </c>
      <c r="I43" t="s">
        <v>34</v>
      </c>
      <c r="J43">
        <v>10720</v>
      </c>
      <c r="K43" s="4" t="str">
        <f t="shared" si="0"/>
        <v>10</v>
      </c>
      <c r="L43" t="s">
        <v>368</v>
      </c>
      <c r="N43" t="s">
        <v>81</v>
      </c>
      <c r="O43" t="s">
        <v>264</v>
      </c>
      <c r="P43">
        <v>850</v>
      </c>
      <c r="Q43">
        <v>90.9</v>
      </c>
      <c r="R43">
        <v>3618000</v>
      </c>
      <c r="S43">
        <v>13.4</v>
      </c>
      <c r="AA43">
        <v>10</v>
      </c>
      <c r="AB43" t="s">
        <v>57</v>
      </c>
      <c r="AC43" t="s">
        <v>39</v>
      </c>
      <c r="AD43">
        <v>170</v>
      </c>
    </row>
    <row r="44" spans="1:30" x14ac:dyDescent="0.25">
      <c r="A44" t="s">
        <v>29</v>
      </c>
      <c r="B44" t="s">
        <v>30</v>
      </c>
      <c r="C44" t="s">
        <v>31</v>
      </c>
      <c r="D44">
        <v>225000</v>
      </c>
      <c r="E44" t="s">
        <v>51</v>
      </c>
      <c r="F44" t="s">
        <v>52</v>
      </c>
      <c r="G44">
        <v>-30.441162312677569</v>
      </c>
      <c r="H44">
        <v>-57.650122793300831</v>
      </c>
      <c r="I44" t="s">
        <v>53</v>
      </c>
      <c r="J44">
        <v>11200</v>
      </c>
      <c r="K44" s="4" t="str">
        <f t="shared" si="0"/>
        <v>11</v>
      </c>
      <c r="L44" t="s">
        <v>54</v>
      </c>
      <c r="M44">
        <v>7</v>
      </c>
      <c r="N44" t="s">
        <v>55</v>
      </c>
      <c r="O44" t="s">
        <v>56</v>
      </c>
      <c r="P44">
        <v>127</v>
      </c>
      <c r="Q44">
        <v>13</v>
      </c>
      <c r="R44">
        <v>225000</v>
      </c>
      <c r="S44">
        <v>3.2</v>
      </c>
      <c r="AA44">
        <v>11</v>
      </c>
      <c r="AB44" t="s">
        <v>57</v>
      </c>
      <c r="AC44" t="s">
        <v>50</v>
      </c>
    </row>
    <row r="45" spans="1:30" x14ac:dyDescent="0.25">
      <c r="A45" t="s">
        <v>29</v>
      </c>
      <c r="B45" t="s">
        <v>30</v>
      </c>
      <c r="C45" t="s">
        <v>31</v>
      </c>
      <c r="D45">
        <v>584000</v>
      </c>
      <c r="E45" t="s">
        <v>51</v>
      </c>
      <c r="F45" t="s">
        <v>58</v>
      </c>
      <c r="G45">
        <v>-30.509256694084797</v>
      </c>
      <c r="H45">
        <v>-57.699684816285803</v>
      </c>
      <c r="I45" t="s">
        <v>42</v>
      </c>
      <c r="J45">
        <v>11500</v>
      </c>
      <c r="K45" s="4" t="str">
        <f t="shared" si="0"/>
        <v>11</v>
      </c>
      <c r="L45" t="s">
        <v>59</v>
      </c>
      <c r="M45">
        <v>8</v>
      </c>
      <c r="N45" t="s">
        <v>60</v>
      </c>
      <c r="O45" t="s">
        <v>61</v>
      </c>
      <c r="P45">
        <v>272</v>
      </c>
      <c r="Q45">
        <v>26.3</v>
      </c>
      <c r="R45">
        <v>584000</v>
      </c>
      <c r="S45">
        <v>6.7</v>
      </c>
      <c r="AA45">
        <v>11</v>
      </c>
      <c r="AB45" t="s">
        <v>38</v>
      </c>
      <c r="AC45" t="s">
        <v>39</v>
      </c>
    </row>
    <row r="46" spans="1:30" x14ac:dyDescent="0.25">
      <c r="A46" t="s">
        <v>29</v>
      </c>
      <c r="B46" t="s">
        <v>30</v>
      </c>
      <c r="C46" t="s">
        <v>31</v>
      </c>
      <c r="D46">
        <v>584000</v>
      </c>
      <c r="E46" t="s">
        <v>51</v>
      </c>
      <c r="F46" t="s">
        <v>58</v>
      </c>
      <c r="G46">
        <v>-30.509256694084797</v>
      </c>
      <c r="H46">
        <v>-57.699684816285803</v>
      </c>
      <c r="I46" t="s">
        <v>42</v>
      </c>
      <c r="J46">
        <v>11500</v>
      </c>
      <c r="K46" s="4" t="str">
        <f t="shared" si="0"/>
        <v>11</v>
      </c>
      <c r="L46" t="s">
        <v>59</v>
      </c>
      <c r="M46">
        <v>8</v>
      </c>
      <c r="N46" t="s">
        <v>60</v>
      </c>
      <c r="O46" t="s">
        <v>62</v>
      </c>
      <c r="P46">
        <v>258</v>
      </c>
      <c r="Q46">
        <v>27.5</v>
      </c>
      <c r="R46">
        <v>530000</v>
      </c>
      <c r="S46">
        <v>6.7</v>
      </c>
      <c r="AA46">
        <v>11</v>
      </c>
      <c r="AB46" t="s">
        <v>38</v>
      </c>
      <c r="AC46" t="s">
        <v>39</v>
      </c>
    </row>
    <row r="47" spans="1:30" x14ac:dyDescent="0.25">
      <c r="A47" t="s">
        <v>29</v>
      </c>
      <c r="B47" t="s">
        <v>30</v>
      </c>
      <c r="C47" t="s">
        <v>31</v>
      </c>
      <c r="D47">
        <v>231500</v>
      </c>
      <c r="E47" t="s">
        <v>51</v>
      </c>
      <c r="F47" t="s">
        <v>58</v>
      </c>
      <c r="G47">
        <v>-30.565113175748994</v>
      </c>
      <c r="H47">
        <v>-57.66601865370987</v>
      </c>
      <c r="I47" t="s">
        <v>42</v>
      </c>
      <c r="J47">
        <v>11500</v>
      </c>
      <c r="K47" s="4" t="str">
        <f t="shared" si="0"/>
        <v>11</v>
      </c>
      <c r="L47" t="s">
        <v>63</v>
      </c>
      <c r="M47">
        <v>8</v>
      </c>
      <c r="N47" t="s">
        <v>60</v>
      </c>
      <c r="O47" t="s">
        <v>64</v>
      </c>
      <c r="P47">
        <v>290</v>
      </c>
      <c r="Q47">
        <v>10.9</v>
      </c>
      <c r="R47">
        <v>231500</v>
      </c>
      <c r="S47">
        <v>6.5</v>
      </c>
      <c r="AA47">
        <v>11</v>
      </c>
      <c r="AB47" t="s">
        <v>65</v>
      </c>
      <c r="AC47" t="s">
        <v>39</v>
      </c>
    </row>
    <row r="48" spans="1:30" x14ac:dyDescent="0.25">
      <c r="A48" t="s">
        <v>29</v>
      </c>
      <c r="B48" t="s">
        <v>30</v>
      </c>
      <c r="C48" t="s">
        <v>31</v>
      </c>
      <c r="D48">
        <v>376000</v>
      </c>
      <c r="E48" t="s">
        <v>51</v>
      </c>
      <c r="F48" t="s">
        <v>52</v>
      </c>
      <c r="G48">
        <v>-30.486554569677295</v>
      </c>
      <c r="H48">
        <v>-57.609330207162124</v>
      </c>
      <c r="I48" t="s">
        <v>42</v>
      </c>
      <c r="J48">
        <v>11400</v>
      </c>
      <c r="K48" s="4" t="str">
        <f t="shared" si="0"/>
        <v>11</v>
      </c>
      <c r="L48" t="s">
        <v>77</v>
      </c>
      <c r="M48">
        <v>7</v>
      </c>
      <c r="N48" t="s">
        <v>78</v>
      </c>
      <c r="O48" t="s">
        <v>79</v>
      </c>
      <c r="P48">
        <v>380</v>
      </c>
      <c r="Q48">
        <v>6.9</v>
      </c>
      <c r="R48">
        <v>376000</v>
      </c>
      <c r="S48">
        <v>4.7</v>
      </c>
      <c r="AA48">
        <v>11</v>
      </c>
      <c r="AB48" t="s">
        <v>57</v>
      </c>
      <c r="AC48" t="s">
        <v>39</v>
      </c>
    </row>
    <row r="49" spans="1:30" x14ac:dyDescent="0.25">
      <c r="A49" t="s">
        <v>29</v>
      </c>
      <c r="B49" t="s">
        <v>30</v>
      </c>
      <c r="C49" t="s">
        <v>31</v>
      </c>
      <c r="D49">
        <v>1523000</v>
      </c>
      <c r="E49" t="s">
        <v>51</v>
      </c>
      <c r="F49" t="s">
        <v>58</v>
      </c>
      <c r="G49">
        <v>-30.402544957479051</v>
      </c>
      <c r="H49">
        <v>-57.45028102555078</v>
      </c>
      <c r="I49" t="s">
        <v>85</v>
      </c>
      <c r="J49">
        <v>11105</v>
      </c>
      <c r="K49" s="4" t="str">
        <f t="shared" si="0"/>
        <v>11</v>
      </c>
      <c r="L49" t="s">
        <v>86</v>
      </c>
      <c r="M49">
        <v>9</v>
      </c>
      <c r="N49" t="s">
        <v>87</v>
      </c>
      <c r="O49" t="s">
        <v>88</v>
      </c>
      <c r="P49">
        <v>2430</v>
      </c>
      <c r="Q49">
        <v>104.2</v>
      </c>
      <c r="R49">
        <v>1523000</v>
      </c>
      <c r="S49">
        <v>5.3</v>
      </c>
      <c r="AA49">
        <v>11</v>
      </c>
      <c r="AB49" t="s">
        <v>38</v>
      </c>
      <c r="AC49" t="s">
        <v>39</v>
      </c>
    </row>
    <row r="50" spans="1:30" x14ac:dyDescent="0.25">
      <c r="A50" t="s">
        <v>29</v>
      </c>
      <c r="B50" t="s">
        <v>30</v>
      </c>
      <c r="C50" t="s">
        <v>31</v>
      </c>
      <c r="D50">
        <v>3306000</v>
      </c>
      <c r="E50" t="s">
        <v>51</v>
      </c>
      <c r="F50" t="s">
        <v>58</v>
      </c>
      <c r="G50">
        <v>-30.562769674300874</v>
      </c>
      <c r="H50">
        <v>-57.804462430765852</v>
      </c>
      <c r="I50" t="s">
        <v>85</v>
      </c>
      <c r="J50">
        <v>11600</v>
      </c>
      <c r="K50" s="4" t="str">
        <f t="shared" si="0"/>
        <v>11</v>
      </c>
      <c r="L50" t="s">
        <v>89</v>
      </c>
      <c r="M50">
        <v>8</v>
      </c>
      <c r="N50" t="s">
        <v>90</v>
      </c>
      <c r="O50" t="s">
        <v>91</v>
      </c>
      <c r="P50">
        <v>1208</v>
      </c>
      <c r="Q50">
        <v>195.5</v>
      </c>
      <c r="R50">
        <v>3306000</v>
      </c>
      <c r="S50">
        <v>6.9</v>
      </c>
      <c r="AA50">
        <v>11</v>
      </c>
      <c r="AB50" t="s">
        <v>57</v>
      </c>
      <c r="AC50" t="s">
        <v>39</v>
      </c>
    </row>
    <row r="51" spans="1:30" x14ac:dyDescent="0.25">
      <c r="A51" t="s">
        <v>29</v>
      </c>
      <c r="B51" t="s">
        <v>30</v>
      </c>
      <c r="C51" t="s">
        <v>31</v>
      </c>
      <c r="D51">
        <v>1020000</v>
      </c>
      <c r="E51" t="s">
        <v>51</v>
      </c>
      <c r="F51" t="s">
        <v>58</v>
      </c>
      <c r="G51">
        <v>-30.52340342624818</v>
      </c>
      <c r="H51">
        <v>-57.539751267288374</v>
      </c>
      <c r="I51" t="s">
        <v>42</v>
      </c>
      <c r="J51">
        <v>11400</v>
      </c>
      <c r="K51" s="4" t="str">
        <f t="shared" si="0"/>
        <v>11</v>
      </c>
      <c r="L51" t="s">
        <v>112</v>
      </c>
      <c r="N51" t="s">
        <v>78</v>
      </c>
      <c r="O51" t="s">
        <v>113</v>
      </c>
      <c r="P51">
        <v>292</v>
      </c>
      <c r="Q51">
        <v>32.5</v>
      </c>
      <c r="R51">
        <v>1020000</v>
      </c>
      <c r="S51">
        <v>8.8000000000000007</v>
      </c>
      <c r="AA51">
        <v>11</v>
      </c>
      <c r="AB51" t="s">
        <v>38</v>
      </c>
      <c r="AC51" t="s">
        <v>39</v>
      </c>
      <c r="AD51">
        <v>50</v>
      </c>
    </row>
    <row r="52" spans="1:30" x14ac:dyDescent="0.25">
      <c r="A52" t="s">
        <v>29</v>
      </c>
      <c r="B52" t="s">
        <v>30</v>
      </c>
      <c r="C52" t="s">
        <v>31</v>
      </c>
      <c r="D52">
        <v>923900</v>
      </c>
      <c r="E52" t="s">
        <v>51</v>
      </c>
      <c r="F52" t="s">
        <v>58</v>
      </c>
      <c r="G52">
        <v>-30.517395883031462</v>
      </c>
      <c r="H52">
        <v>-57.529696678261686</v>
      </c>
      <c r="I52" t="s">
        <v>34</v>
      </c>
      <c r="J52">
        <v>11400</v>
      </c>
      <c r="K52" s="4" t="str">
        <f t="shared" si="0"/>
        <v>11</v>
      </c>
      <c r="L52" t="s">
        <v>112</v>
      </c>
      <c r="N52" t="s">
        <v>78</v>
      </c>
      <c r="O52" t="s">
        <v>56</v>
      </c>
      <c r="P52">
        <v>588</v>
      </c>
      <c r="Q52">
        <v>47.6</v>
      </c>
      <c r="R52">
        <v>923900</v>
      </c>
      <c r="S52">
        <v>6.3</v>
      </c>
      <c r="AA52">
        <v>11</v>
      </c>
      <c r="AB52" t="s">
        <v>38</v>
      </c>
      <c r="AC52" t="s">
        <v>39</v>
      </c>
    </row>
    <row r="53" spans="1:30" x14ac:dyDescent="0.25">
      <c r="A53" t="s">
        <v>29</v>
      </c>
      <c r="B53" t="s">
        <v>30</v>
      </c>
      <c r="C53" t="s">
        <v>31</v>
      </c>
      <c r="D53">
        <v>4091000</v>
      </c>
      <c r="E53" t="s">
        <v>51</v>
      </c>
      <c r="F53" t="s">
        <v>58</v>
      </c>
      <c r="G53">
        <v>-30.57275381418232</v>
      </c>
      <c r="H53">
        <v>-57.76569216867636</v>
      </c>
      <c r="I53" t="s">
        <v>34</v>
      </c>
      <c r="J53">
        <v>11600</v>
      </c>
      <c r="K53" s="4" t="str">
        <f t="shared" si="0"/>
        <v>11</v>
      </c>
      <c r="L53" t="s">
        <v>130</v>
      </c>
      <c r="M53">
        <v>8</v>
      </c>
      <c r="N53" t="s">
        <v>90</v>
      </c>
      <c r="O53" t="s">
        <v>131</v>
      </c>
      <c r="P53">
        <v>777</v>
      </c>
      <c r="Q53">
        <v>103.1</v>
      </c>
      <c r="R53">
        <v>4091000</v>
      </c>
      <c r="S53">
        <v>11.3</v>
      </c>
      <c r="AA53">
        <v>11</v>
      </c>
      <c r="AB53" t="s">
        <v>38</v>
      </c>
      <c r="AC53" t="s">
        <v>39</v>
      </c>
    </row>
    <row r="54" spans="1:30" x14ac:dyDescent="0.25">
      <c r="A54" t="s">
        <v>29</v>
      </c>
      <c r="B54" t="s">
        <v>30</v>
      </c>
      <c r="C54" t="s">
        <v>31</v>
      </c>
      <c r="D54">
        <v>784200</v>
      </c>
      <c r="E54" t="s">
        <v>51</v>
      </c>
      <c r="F54" t="s">
        <v>58</v>
      </c>
      <c r="G54">
        <v>-30.533378578338077</v>
      </c>
      <c r="H54">
        <v>-57.614364816777197</v>
      </c>
      <c r="I54" t="s">
        <v>42</v>
      </c>
      <c r="J54">
        <v>11400</v>
      </c>
      <c r="K54" s="4" t="str">
        <f t="shared" si="0"/>
        <v>11</v>
      </c>
      <c r="L54" t="s">
        <v>134</v>
      </c>
      <c r="M54">
        <v>8</v>
      </c>
      <c r="N54" t="s">
        <v>78</v>
      </c>
      <c r="O54" t="s">
        <v>135</v>
      </c>
      <c r="P54">
        <v>220</v>
      </c>
      <c r="Q54">
        <v>25.8</v>
      </c>
      <c r="R54">
        <v>784200</v>
      </c>
      <c r="S54">
        <v>8.8000000000000007</v>
      </c>
      <c r="AA54">
        <v>11</v>
      </c>
      <c r="AB54" t="s">
        <v>57</v>
      </c>
      <c r="AC54" t="s">
        <v>39</v>
      </c>
    </row>
    <row r="55" spans="1:30" x14ac:dyDescent="0.25">
      <c r="A55" t="s">
        <v>29</v>
      </c>
      <c r="B55" t="s">
        <v>30</v>
      </c>
      <c r="C55" t="s">
        <v>31</v>
      </c>
      <c r="D55">
        <v>5680000</v>
      </c>
      <c r="E55" t="s">
        <v>51</v>
      </c>
      <c r="F55" t="s">
        <v>58</v>
      </c>
      <c r="G55">
        <v>-30.619399234235658</v>
      </c>
      <c r="H55">
        <v>-57.380310500883823</v>
      </c>
      <c r="I55" t="s">
        <v>85</v>
      </c>
      <c r="J55">
        <v>11100</v>
      </c>
      <c r="K55" s="4" t="str">
        <f t="shared" si="0"/>
        <v>11</v>
      </c>
      <c r="L55" t="s">
        <v>143</v>
      </c>
      <c r="M55">
        <v>9</v>
      </c>
      <c r="N55" t="s">
        <v>87</v>
      </c>
      <c r="O55" t="s">
        <v>144</v>
      </c>
      <c r="P55">
        <v>1850</v>
      </c>
      <c r="Q55">
        <v>175</v>
      </c>
      <c r="R55">
        <v>5680000</v>
      </c>
      <c r="S55">
        <v>10.3</v>
      </c>
      <c r="AA55">
        <v>11</v>
      </c>
      <c r="AB55" t="s">
        <v>57</v>
      </c>
      <c r="AC55" t="s">
        <v>39</v>
      </c>
    </row>
    <row r="56" spans="1:30" x14ac:dyDescent="0.25">
      <c r="A56" t="s">
        <v>29</v>
      </c>
      <c r="B56" t="s">
        <v>30</v>
      </c>
      <c r="C56" t="s">
        <v>31</v>
      </c>
      <c r="D56">
        <v>6730000</v>
      </c>
      <c r="E56" t="s">
        <v>51</v>
      </c>
      <c r="F56" t="s">
        <v>58</v>
      </c>
      <c r="G56">
        <v>-30.587994423057186</v>
      </c>
      <c r="H56">
        <v>-57.440260794077481</v>
      </c>
      <c r="I56" t="s">
        <v>85</v>
      </c>
      <c r="J56">
        <v>11100</v>
      </c>
      <c r="K56" s="4" t="str">
        <f t="shared" si="0"/>
        <v>11</v>
      </c>
      <c r="L56" t="s">
        <v>143</v>
      </c>
      <c r="M56">
        <v>9</v>
      </c>
      <c r="N56" t="s">
        <v>87</v>
      </c>
      <c r="O56" t="s">
        <v>145</v>
      </c>
      <c r="P56">
        <v>2400</v>
      </c>
      <c r="Q56">
        <v>204.7</v>
      </c>
      <c r="R56">
        <v>6730000</v>
      </c>
      <c r="S56">
        <v>11.4</v>
      </c>
      <c r="AA56">
        <v>11</v>
      </c>
      <c r="AB56" t="s">
        <v>57</v>
      </c>
      <c r="AC56" t="s">
        <v>39</v>
      </c>
    </row>
    <row r="57" spans="1:30" x14ac:dyDescent="0.25">
      <c r="A57" t="s">
        <v>29</v>
      </c>
      <c r="B57" t="s">
        <v>30</v>
      </c>
      <c r="C57" t="s">
        <v>31</v>
      </c>
      <c r="D57">
        <v>786000</v>
      </c>
      <c r="E57" t="s">
        <v>51</v>
      </c>
      <c r="F57" t="s">
        <v>52</v>
      </c>
      <c r="G57">
        <v>-30.474734292982141</v>
      </c>
      <c r="H57">
        <v>-57.679909285904372</v>
      </c>
      <c r="I57" t="s">
        <v>42</v>
      </c>
      <c r="J57">
        <v>11400</v>
      </c>
      <c r="K57" s="4" t="str">
        <f t="shared" si="0"/>
        <v>11</v>
      </c>
      <c r="L57" t="s">
        <v>155</v>
      </c>
      <c r="M57">
        <v>8</v>
      </c>
      <c r="N57" t="s">
        <v>78</v>
      </c>
      <c r="O57" t="s">
        <v>106</v>
      </c>
      <c r="P57">
        <v>340</v>
      </c>
      <c r="Q57">
        <v>35.42</v>
      </c>
      <c r="R57">
        <v>786500</v>
      </c>
      <c r="S57">
        <v>8.1</v>
      </c>
      <c r="AA57">
        <v>11</v>
      </c>
      <c r="AB57" t="s">
        <v>38</v>
      </c>
      <c r="AC57" t="s">
        <v>154</v>
      </c>
    </row>
    <row r="58" spans="1:30" x14ac:dyDescent="0.25">
      <c r="A58" t="s">
        <v>29</v>
      </c>
      <c r="B58" t="s">
        <v>30</v>
      </c>
      <c r="C58" t="s">
        <v>31</v>
      </c>
      <c r="D58">
        <v>1263000</v>
      </c>
      <c r="E58" t="s">
        <v>51</v>
      </c>
      <c r="F58" t="s">
        <v>52</v>
      </c>
      <c r="G58">
        <v>-30.424471249632472</v>
      </c>
      <c r="H58">
        <v>-57.663335527803767</v>
      </c>
      <c r="I58" t="s">
        <v>42</v>
      </c>
      <c r="J58">
        <v>11200</v>
      </c>
      <c r="K58" s="4" t="str">
        <f t="shared" si="0"/>
        <v>11</v>
      </c>
      <c r="L58" t="s">
        <v>156</v>
      </c>
      <c r="M58">
        <v>7</v>
      </c>
      <c r="N58" t="s">
        <v>55</v>
      </c>
      <c r="O58" t="s">
        <v>106</v>
      </c>
      <c r="P58">
        <v>258</v>
      </c>
      <c r="Q58">
        <v>43</v>
      </c>
      <c r="R58">
        <v>1263000</v>
      </c>
      <c r="S58">
        <v>9</v>
      </c>
      <c r="AA58">
        <v>11</v>
      </c>
      <c r="AB58" t="s">
        <v>38</v>
      </c>
      <c r="AC58" t="s">
        <v>154</v>
      </c>
    </row>
    <row r="59" spans="1:30" x14ac:dyDescent="0.25">
      <c r="A59" t="s">
        <v>29</v>
      </c>
      <c r="B59" t="s">
        <v>30</v>
      </c>
      <c r="C59" t="s">
        <v>31</v>
      </c>
      <c r="D59">
        <v>1404000</v>
      </c>
      <c r="E59" t="s">
        <v>51</v>
      </c>
      <c r="F59" t="s">
        <v>58</v>
      </c>
      <c r="G59">
        <v>-30.484905312776746</v>
      </c>
      <c r="H59">
        <v>-57.662403655327111</v>
      </c>
      <c r="I59" t="s">
        <v>42</v>
      </c>
      <c r="J59">
        <v>11400</v>
      </c>
      <c r="K59" s="4" t="str">
        <f t="shared" si="0"/>
        <v>11</v>
      </c>
      <c r="L59" t="s">
        <v>158</v>
      </c>
      <c r="M59">
        <v>5</v>
      </c>
      <c r="N59" t="s">
        <v>78</v>
      </c>
      <c r="O59" t="s">
        <v>159</v>
      </c>
      <c r="P59">
        <v>425</v>
      </c>
      <c r="Q59">
        <v>52.47</v>
      </c>
      <c r="R59">
        <v>1404000</v>
      </c>
      <c r="S59">
        <v>8</v>
      </c>
      <c r="AA59">
        <v>11</v>
      </c>
      <c r="AB59" t="s">
        <v>38</v>
      </c>
      <c r="AC59" t="s">
        <v>154</v>
      </c>
    </row>
    <row r="60" spans="1:30" x14ac:dyDescent="0.25">
      <c r="A60" t="s">
        <v>29</v>
      </c>
      <c r="B60" t="s">
        <v>30</v>
      </c>
      <c r="C60" t="s">
        <v>31</v>
      </c>
      <c r="D60">
        <v>1510000</v>
      </c>
      <c r="E60" t="s">
        <v>51</v>
      </c>
      <c r="F60" t="s">
        <v>52</v>
      </c>
      <c r="G60">
        <v>-30.432110000000002</v>
      </c>
      <c r="H60">
        <v>-57.661940000000001</v>
      </c>
      <c r="I60" t="s">
        <v>85</v>
      </c>
      <c r="J60">
        <v>11200</v>
      </c>
      <c r="K60" s="4" t="str">
        <f t="shared" si="0"/>
        <v>11</v>
      </c>
      <c r="L60" t="s">
        <v>173</v>
      </c>
      <c r="M60">
        <v>7</v>
      </c>
      <c r="N60" t="s">
        <v>55</v>
      </c>
      <c r="O60" t="s">
        <v>167</v>
      </c>
      <c r="P60">
        <v>4400</v>
      </c>
      <c r="Q60">
        <v>103.2</v>
      </c>
      <c r="R60">
        <v>1510000</v>
      </c>
      <c r="S60">
        <v>7.45</v>
      </c>
      <c r="AA60">
        <v>11</v>
      </c>
      <c r="AB60" t="s">
        <v>38</v>
      </c>
      <c r="AC60" t="s">
        <v>39</v>
      </c>
      <c r="AD60">
        <v>300</v>
      </c>
    </row>
    <row r="61" spans="1:30" x14ac:dyDescent="0.25">
      <c r="A61" t="s">
        <v>29</v>
      </c>
      <c r="B61" t="s">
        <v>30</v>
      </c>
      <c r="C61" t="s">
        <v>31</v>
      </c>
      <c r="D61">
        <v>354000</v>
      </c>
      <c r="E61" t="s">
        <v>51</v>
      </c>
      <c r="F61" t="s">
        <v>52</v>
      </c>
      <c r="G61">
        <v>-30.318180000000002</v>
      </c>
      <c r="H61">
        <v>-57.6128</v>
      </c>
      <c r="I61" t="s">
        <v>42</v>
      </c>
      <c r="J61">
        <v>11000</v>
      </c>
      <c r="K61" s="4" t="str">
        <f t="shared" si="0"/>
        <v>11</v>
      </c>
      <c r="L61" t="s">
        <v>174</v>
      </c>
      <c r="M61">
        <v>7</v>
      </c>
      <c r="N61" t="s">
        <v>175</v>
      </c>
      <c r="O61" t="s">
        <v>56</v>
      </c>
      <c r="P61">
        <v>679</v>
      </c>
      <c r="Q61">
        <v>15.5</v>
      </c>
      <c r="R61">
        <v>354000</v>
      </c>
      <c r="S61">
        <v>6</v>
      </c>
      <c r="AA61">
        <v>11</v>
      </c>
      <c r="AB61" t="s">
        <v>38</v>
      </c>
      <c r="AC61" t="s">
        <v>39</v>
      </c>
      <c r="AD61">
        <v>60</v>
      </c>
    </row>
    <row r="62" spans="1:30" x14ac:dyDescent="0.25">
      <c r="A62" t="s">
        <v>29</v>
      </c>
      <c r="B62" t="s">
        <v>30</v>
      </c>
      <c r="C62" t="s">
        <v>31</v>
      </c>
      <c r="D62">
        <v>1215000</v>
      </c>
      <c r="E62" t="s">
        <v>51</v>
      </c>
      <c r="F62" t="s">
        <v>58</v>
      </c>
      <c r="G62">
        <v>-30.53735</v>
      </c>
      <c r="H62">
        <v>-57.694279999999999</v>
      </c>
      <c r="I62" t="s">
        <v>34</v>
      </c>
      <c r="J62">
        <v>11500</v>
      </c>
      <c r="K62" s="4" t="str">
        <f t="shared" si="0"/>
        <v>11</v>
      </c>
      <c r="L62" t="s">
        <v>95</v>
      </c>
      <c r="M62">
        <v>5</v>
      </c>
      <c r="N62" t="s">
        <v>60</v>
      </c>
      <c r="O62" t="s">
        <v>45</v>
      </c>
      <c r="P62">
        <v>520</v>
      </c>
      <c r="Q62">
        <v>51</v>
      </c>
      <c r="R62">
        <v>1218000</v>
      </c>
      <c r="S62">
        <v>7.8</v>
      </c>
      <c r="AA62">
        <v>11</v>
      </c>
      <c r="AB62" t="s">
        <v>38</v>
      </c>
      <c r="AC62" t="s">
        <v>39</v>
      </c>
      <c r="AD62">
        <v>135</v>
      </c>
    </row>
    <row r="63" spans="1:30" x14ac:dyDescent="0.25">
      <c r="A63" t="s">
        <v>29</v>
      </c>
      <c r="B63" t="s">
        <v>30</v>
      </c>
      <c r="C63" t="s">
        <v>31</v>
      </c>
      <c r="D63">
        <v>71000</v>
      </c>
      <c r="E63" t="s">
        <v>51</v>
      </c>
      <c r="F63" t="s">
        <v>97</v>
      </c>
      <c r="G63">
        <v>-30.507940000000001</v>
      </c>
      <c r="H63">
        <v>-57.645609999999998</v>
      </c>
      <c r="I63" t="s">
        <v>53</v>
      </c>
      <c r="J63">
        <v>11400</v>
      </c>
      <c r="K63" s="4" t="str">
        <f t="shared" si="0"/>
        <v>11</v>
      </c>
      <c r="L63" t="s">
        <v>187</v>
      </c>
      <c r="M63">
        <v>5</v>
      </c>
      <c r="N63" t="s">
        <v>78</v>
      </c>
      <c r="O63" t="s">
        <v>167</v>
      </c>
      <c r="P63">
        <v>389</v>
      </c>
      <c r="Q63">
        <v>8.3699999999999992</v>
      </c>
      <c r="R63">
        <v>71000</v>
      </c>
      <c r="S63">
        <v>4.3</v>
      </c>
      <c r="AA63">
        <v>11</v>
      </c>
      <c r="AB63" t="s">
        <v>38</v>
      </c>
      <c r="AC63" t="s">
        <v>39</v>
      </c>
      <c r="AD63">
        <v>0</v>
      </c>
    </row>
    <row r="64" spans="1:30" x14ac:dyDescent="0.25">
      <c r="A64" t="s">
        <v>29</v>
      </c>
      <c r="B64" t="s">
        <v>30</v>
      </c>
      <c r="C64" t="s">
        <v>31</v>
      </c>
      <c r="D64">
        <v>84000</v>
      </c>
      <c r="E64" t="s">
        <v>51</v>
      </c>
      <c r="F64" t="s">
        <v>120</v>
      </c>
      <c r="G64">
        <v>-30.46208</v>
      </c>
      <c r="H64">
        <v>-57.607199999999999</v>
      </c>
      <c r="I64" t="s">
        <v>53</v>
      </c>
      <c r="J64">
        <v>11200</v>
      </c>
      <c r="K64" s="4" t="str">
        <f t="shared" si="0"/>
        <v>11</v>
      </c>
      <c r="L64" t="s">
        <v>188</v>
      </c>
      <c r="N64" t="s">
        <v>55</v>
      </c>
      <c r="O64" t="s">
        <v>167</v>
      </c>
      <c r="P64">
        <v>54</v>
      </c>
      <c r="Q64">
        <v>4.5999999999999996</v>
      </c>
      <c r="R64">
        <v>84000</v>
      </c>
      <c r="S64">
        <v>5.8</v>
      </c>
      <c r="AA64">
        <v>11</v>
      </c>
      <c r="AB64" t="s">
        <v>38</v>
      </c>
      <c r="AC64" t="s">
        <v>39</v>
      </c>
      <c r="AD64">
        <v>0</v>
      </c>
    </row>
    <row r="65" spans="1:30" x14ac:dyDescent="0.25">
      <c r="A65" t="s">
        <v>29</v>
      </c>
      <c r="B65" t="s">
        <v>30</v>
      </c>
      <c r="C65" t="s">
        <v>31</v>
      </c>
      <c r="D65">
        <v>1101000</v>
      </c>
      <c r="E65" t="s">
        <v>51</v>
      </c>
      <c r="F65" t="s">
        <v>120</v>
      </c>
      <c r="G65">
        <v>-30.592210000000001</v>
      </c>
      <c r="H65">
        <v>-57.706130000000002</v>
      </c>
      <c r="I65" t="s">
        <v>34</v>
      </c>
      <c r="J65">
        <v>11707</v>
      </c>
      <c r="K65" s="4" t="str">
        <f t="shared" si="0"/>
        <v>11</v>
      </c>
      <c r="L65" t="s">
        <v>188</v>
      </c>
      <c r="M65">
        <v>5</v>
      </c>
      <c r="N65" t="s">
        <v>191</v>
      </c>
      <c r="O65" t="s">
        <v>71</v>
      </c>
      <c r="P65">
        <v>780</v>
      </c>
      <c r="Q65">
        <v>45</v>
      </c>
      <c r="R65">
        <v>1101000</v>
      </c>
      <c r="S65">
        <v>6</v>
      </c>
      <c r="AA65">
        <v>11</v>
      </c>
      <c r="AB65" t="s">
        <v>38</v>
      </c>
      <c r="AC65" t="s">
        <v>39</v>
      </c>
      <c r="AD65">
        <v>220</v>
      </c>
    </row>
    <row r="66" spans="1:30" x14ac:dyDescent="0.25">
      <c r="A66" t="s">
        <v>29</v>
      </c>
      <c r="B66" t="s">
        <v>30</v>
      </c>
      <c r="C66" t="s">
        <v>31</v>
      </c>
      <c r="D66">
        <v>132000</v>
      </c>
      <c r="E66" t="s">
        <v>51</v>
      </c>
      <c r="F66" t="s">
        <v>97</v>
      </c>
      <c r="G66">
        <v>-30.497800000000002</v>
      </c>
      <c r="H66">
        <v>-57.650370000000002</v>
      </c>
      <c r="I66" t="s">
        <v>42</v>
      </c>
      <c r="J66">
        <v>11400</v>
      </c>
      <c r="K66" s="4" t="str">
        <f t="shared" ref="K66:K129" si="1">LEFT(J66,2)</f>
        <v>11</v>
      </c>
      <c r="L66" t="s">
        <v>187</v>
      </c>
      <c r="M66">
        <v>8</v>
      </c>
      <c r="N66" t="s">
        <v>78</v>
      </c>
      <c r="O66" t="s">
        <v>56</v>
      </c>
      <c r="P66">
        <v>63</v>
      </c>
      <c r="Q66">
        <v>6.22</v>
      </c>
      <c r="R66">
        <v>132000</v>
      </c>
      <c r="S66">
        <v>5.2</v>
      </c>
      <c r="AA66">
        <v>11</v>
      </c>
      <c r="AB66" t="s">
        <v>38</v>
      </c>
      <c r="AC66" t="s">
        <v>39</v>
      </c>
      <c r="AD66">
        <v>11</v>
      </c>
    </row>
    <row r="67" spans="1:30" x14ac:dyDescent="0.25">
      <c r="A67" t="s">
        <v>29</v>
      </c>
      <c r="B67" t="s">
        <v>30</v>
      </c>
      <c r="C67" t="s">
        <v>31</v>
      </c>
      <c r="D67">
        <v>68000</v>
      </c>
      <c r="E67" t="s">
        <v>51</v>
      </c>
      <c r="F67" t="s">
        <v>149</v>
      </c>
      <c r="G67">
        <v>-30.494910000000001</v>
      </c>
      <c r="H67">
        <v>-57.647799999999997</v>
      </c>
      <c r="I67" t="s">
        <v>160</v>
      </c>
      <c r="J67">
        <v>11400</v>
      </c>
      <c r="K67" s="4" t="str">
        <f t="shared" si="1"/>
        <v>11</v>
      </c>
      <c r="L67" t="s">
        <v>187</v>
      </c>
      <c r="M67">
        <v>8</v>
      </c>
      <c r="N67" t="s">
        <v>78</v>
      </c>
      <c r="O67" t="s">
        <v>56</v>
      </c>
      <c r="P67">
        <v>34</v>
      </c>
      <c r="Q67">
        <v>4.4000000000000004</v>
      </c>
      <c r="R67">
        <v>68000</v>
      </c>
      <c r="S67">
        <v>4.3</v>
      </c>
      <c r="AA67">
        <v>11</v>
      </c>
      <c r="AB67" t="s">
        <v>38</v>
      </c>
      <c r="AC67" t="s">
        <v>39</v>
      </c>
      <c r="AD67">
        <v>7</v>
      </c>
    </row>
    <row r="68" spans="1:30" x14ac:dyDescent="0.25">
      <c r="A68" t="s">
        <v>29</v>
      </c>
      <c r="B68" t="s">
        <v>30</v>
      </c>
      <c r="C68" t="s">
        <v>31</v>
      </c>
      <c r="D68">
        <v>956500</v>
      </c>
      <c r="E68" t="s">
        <v>51</v>
      </c>
      <c r="F68" t="s">
        <v>52</v>
      </c>
      <c r="G68">
        <v>-30.320650000000001</v>
      </c>
      <c r="H68">
        <v>-57.60763</v>
      </c>
      <c r="I68" t="s">
        <v>42</v>
      </c>
      <c r="J68">
        <v>11000</v>
      </c>
      <c r="K68" s="4" t="str">
        <f t="shared" si="1"/>
        <v>11</v>
      </c>
      <c r="L68" t="s">
        <v>229</v>
      </c>
      <c r="M68">
        <v>7</v>
      </c>
      <c r="N68" t="s">
        <v>175</v>
      </c>
      <c r="O68" t="s">
        <v>230</v>
      </c>
      <c r="P68">
        <v>104</v>
      </c>
      <c r="Q68">
        <v>47.4</v>
      </c>
      <c r="R68">
        <v>956500</v>
      </c>
      <c r="S68">
        <v>6.8</v>
      </c>
      <c r="AA68">
        <v>11</v>
      </c>
      <c r="AB68" t="s">
        <v>38</v>
      </c>
      <c r="AC68" t="s">
        <v>39</v>
      </c>
      <c r="AD68">
        <v>120</v>
      </c>
    </row>
    <row r="69" spans="1:30" x14ac:dyDescent="0.25">
      <c r="A69" t="s">
        <v>29</v>
      </c>
      <c r="B69" t="s">
        <v>30</v>
      </c>
      <c r="C69" t="s">
        <v>31</v>
      </c>
      <c r="D69">
        <v>659400</v>
      </c>
      <c r="E69" t="s">
        <v>51</v>
      </c>
      <c r="F69" t="s">
        <v>58</v>
      </c>
      <c r="G69">
        <v>-30.571570000000001</v>
      </c>
      <c r="H69">
        <v>-57.519190000000002</v>
      </c>
      <c r="I69" t="s">
        <v>42</v>
      </c>
      <c r="J69">
        <v>11400</v>
      </c>
      <c r="K69" s="4" t="str">
        <f t="shared" si="1"/>
        <v>11</v>
      </c>
      <c r="L69" t="s">
        <v>231</v>
      </c>
      <c r="M69">
        <v>5</v>
      </c>
      <c r="N69" t="s">
        <v>78</v>
      </c>
      <c r="O69" t="s">
        <v>56</v>
      </c>
      <c r="P69">
        <v>230</v>
      </c>
      <c r="Q69">
        <v>30.3</v>
      </c>
      <c r="R69">
        <v>659400</v>
      </c>
      <c r="S69">
        <v>7.5</v>
      </c>
      <c r="AA69">
        <v>11</v>
      </c>
      <c r="AB69" t="s">
        <v>38</v>
      </c>
      <c r="AC69" t="s">
        <v>39</v>
      </c>
      <c r="AD69">
        <v>60</v>
      </c>
    </row>
    <row r="70" spans="1:30" x14ac:dyDescent="0.25">
      <c r="A70" t="s">
        <v>29</v>
      </c>
      <c r="B70" t="s">
        <v>30</v>
      </c>
      <c r="C70" t="s">
        <v>31</v>
      </c>
      <c r="D70">
        <v>10360000</v>
      </c>
      <c r="E70" t="s">
        <v>51</v>
      </c>
      <c r="F70" t="s">
        <v>58</v>
      </c>
      <c r="G70">
        <v>-30.527570000000001</v>
      </c>
      <c r="H70">
        <v>-57.763750000000002</v>
      </c>
      <c r="I70" t="s">
        <v>85</v>
      </c>
      <c r="J70">
        <v>11500</v>
      </c>
      <c r="K70" s="4" t="str">
        <f t="shared" si="1"/>
        <v>11</v>
      </c>
      <c r="L70" t="s">
        <v>235</v>
      </c>
      <c r="M70">
        <v>8</v>
      </c>
      <c r="N70" t="s">
        <v>60</v>
      </c>
      <c r="O70" t="s">
        <v>236</v>
      </c>
      <c r="P70">
        <v>10700</v>
      </c>
      <c r="Q70">
        <v>522.79999999999995</v>
      </c>
      <c r="R70">
        <v>10360000</v>
      </c>
      <c r="S70">
        <v>10.36</v>
      </c>
      <c r="AA70">
        <v>11</v>
      </c>
      <c r="AB70" t="s">
        <v>57</v>
      </c>
      <c r="AC70" t="s">
        <v>39</v>
      </c>
      <c r="AD70">
        <v>753</v>
      </c>
    </row>
    <row r="71" spans="1:30" x14ac:dyDescent="0.25">
      <c r="A71" t="s">
        <v>29</v>
      </c>
      <c r="B71" t="s">
        <v>30</v>
      </c>
      <c r="C71" t="s">
        <v>31</v>
      </c>
      <c r="D71">
        <v>1356000</v>
      </c>
      <c r="E71" t="s">
        <v>51</v>
      </c>
      <c r="F71" t="s">
        <v>58</v>
      </c>
      <c r="G71">
        <v>-30.652622096349319</v>
      </c>
      <c r="H71">
        <v>-57.676042033445313</v>
      </c>
      <c r="I71" t="s">
        <v>42</v>
      </c>
      <c r="J71">
        <v>11703</v>
      </c>
      <c r="K71" s="4" t="str">
        <f t="shared" si="1"/>
        <v>11</v>
      </c>
      <c r="L71" t="s">
        <v>125</v>
      </c>
      <c r="M71">
        <v>8</v>
      </c>
      <c r="N71" t="s">
        <v>191</v>
      </c>
      <c r="O71" t="s">
        <v>106</v>
      </c>
      <c r="P71">
        <v>230</v>
      </c>
      <c r="Q71">
        <v>53.4</v>
      </c>
      <c r="R71">
        <v>1356000</v>
      </c>
      <c r="S71">
        <v>8.4499999999999993</v>
      </c>
      <c r="AA71">
        <v>11</v>
      </c>
      <c r="AB71" t="s">
        <v>57</v>
      </c>
      <c r="AC71" t="s">
        <v>39</v>
      </c>
      <c r="AD71">
        <v>70</v>
      </c>
    </row>
    <row r="72" spans="1:30" x14ac:dyDescent="0.25">
      <c r="A72" t="s">
        <v>29</v>
      </c>
      <c r="B72" t="s">
        <v>30</v>
      </c>
      <c r="C72" t="s">
        <v>31</v>
      </c>
      <c r="D72">
        <v>7792000</v>
      </c>
      <c r="E72" t="s">
        <v>51</v>
      </c>
      <c r="F72" t="s">
        <v>58</v>
      </c>
      <c r="G72">
        <v>-30.696856490446141</v>
      </c>
      <c r="H72">
        <v>-57.660201123070678</v>
      </c>
      <c r="I72" t="s">
        <v>85</v>
      </c>
      <c r="J72">
        <v>11922</v>
      </c>
      <c r="K72" s="4" t="str">
        <f t="shared" si="1"/>
        <v>11</v>
      </c>
      <c r="L72" t="s">
        <v>125</v>
      </c>
      <c r="M72">
        <v>8</v>
      </c>
      <c r="N72" t="s">
        <v>250</v>
      </c>
      <c r="O72" t="s">
        <v>251</v>
      </c>
      <c r="P72">
        <v>3130</v>
      </c>
      <c r="Q72">
        <v>280</v>
      </c>
      <c r="R72">
        <v>7792000</v>
      </c>
      <c r="S72">
        <v>10.85</v>
      </c>
      <c r="AA72">
        <v>11</v>
      </c>
      <c r="AB72" t="s">
        <v>57</v>
      </c>
      <c r="AC72" t="s">
        <v>39</v>
      </c>
    </row>
    <row r="73" spans="1:30" x14ac:dyDescent="0.25">
      <c r="A73" t="s">
        <v>29</v>
      </c>
      <c r="B73" t="s">
        <v>30</v>
      </c>
      <c r="C73" t="s">
        <v>31</v>
      </c>
      <c r="D73">
        <v>376000</v>
      </c>
      <c r="E73" t="s">
        <v>51</v>
      </c>
      <c r="F73" t="s">
        <v>120</v>
      </c>
      <c r="G73">
        <v>-30.591429999999999</v>
      </c>
      <c r="H73">
        <v>-57.693840000000002</v>
      </c>
      <c r="I73" t="s">
        <v>42</v>
      </c>
      <c r="J73">
        <v>11707</v>
      </c>
      <c r="K73" s="4" t="str">
        <f t="shared" si="1"/>
        <v>11</v>
      </c>
      <c r="L73" t="s">
        <v>188</v>
      </c>
      <c r="N73" t="s">
        <v>191</v>
      </c>
      <c r="O73" t="s">
        <v>56</v>
      </c>
      <c r="P73">
        <v>101</v>
      </c>
      <c r="Q73">
        <v>14</v>
      </c>
      <c r="R73">
        <v>376000</v>
      </c>
      <c r="S73">
        <v>8.65</v>
      </c>
      <c r="AA73">
        <v>11</v>
      </c>
      <c r="AB73" t="s">
        <v>57</v>
      </c>
      <c r="AC73" t="s">
        <v>39</v>
      </c>
    </row>
    <row r="74" spans="1:30" x14ac:dyDescent="0.25">
      <c r="A74" t="s">
        <v>29</v>
      </c>
      <c r="B74" t="s">
        <v>30</v>
      </c>
      <c r="C74" t="s">
        <v>31</v>
      </c>
      <c r="D74">
        <v>1651000</v>
      </c>
      <c r="E74" t="s">
        <v>51</v>
      </c>
      <c r="F74" t="s">
        <v>58</v>
      </c>
      <c r="G74">
        <v>-30.390719903024475</v>
      </c>
      <c r="H74">
        <v>-57.450582508169909</v>
      </c>
      <c r="I74" t="s">
        <v>42</v>
      </c>
      <c r="J74">
        <v>11105</v>
      </c>
      <c r="K74" s="4" t="str">
        <f t="shared" si="1"/>
        <v>11</v>
      </c>
      <c r="L74" t="s">
        <v>285</v>
      </c>
      <c r="M74">
        <v>9</v>
      </c>
      <c r="N74" t="s">
        <v>87</v>
      </c>
      <c r="O74" t="s">
        <v>56</v>
      </c>
      <c r="P74">
        <v>373</v>
      </c>
      <c r="Q74">
        <v>50.4</v>
      </c>
      <c r="R74">
        <v>1651000</v>
      </c>
      <c r="S74">
        <v>11.5</v>
      </c>
      <c r="AA74">
        <v>11</v>
      </c>
      <c r="AB74" t="s">
        <v>57</v>
      </c>
      <c r="AC74" t="s">
        <v>39</v>
      </c>
      <c r="AD74">
        <v>100</v>
      </c>
    </row>
    <row r="75" spans="1:30" x14ac:dyDescent="0.25">
      <c r="A75" t="s">
        <v>29</v>
      </c>
      <c r="B75" t="s">
        <v>30</v>
      </c>
      <c r="C75" t="s">
        <v>31</v>
      </c>
      <c r="D75">
        <v>26730</v>
      </c>
      <c r="E75" t="s">
        <v>32</v>
      </c>
      <c r="F75" t="s">
        <v>33</v>
      </c>
      <c r="G75">
        <v>-30.687791647171252</v>
      </c>
      <c r="H75">
        <v>-57.780199530534446</v>
      </c>
      <c r="I75" t="s">
        <v>160</v>
      </c>
      <c r="J75">
        <v>11710</v>
      </c>
      <c r="K75" s="4" t="str">
        <f t="shared" si="1"/>
        <v>11</v>
      </c>
      <c r="L75" t="s">
        <v>306</v>
      </c>
      <c r="M75">
        <v>5</v>
      </c>
      <c r="N75" t="s">
        <v>191</v>
      </c>
      <c r="O75" t="s">
        <v>56</v>
      </c>
      <c r="P75">
        <v>60</v>
      </c>
      <c r="Q75">
        <v>2</v>
      </c>
      <c r="R75">
        <v>26730</v>
      </c>
      <c r="S75">
        <v>3</v>
      </c>
      <c r="AA75">
        <v>11</v>
      </c>
      <c r="AB75" t="s">
        <v>38</v>
      </c>
      <c r="AC75" t="s">
        <v>50</v>
      </c>
    </row>
    <row r="76" spans="1:30" x14ac:dyDescent="0.25">
      <c r="A76" t="s">
        <v>29</v>
      </c>
      <c r="B76" t="s">
        <v>30</v>
      </c>
      <c r="C76" t="s">
        <v>31</v>
      </c>
      <c r="D76">
        <v>2301000</v>
      </c>
      <c r="E76" t="s">
        <v>51</v>
      </c>
      <c r="F76" t="s">
        <v>58</v>
      </c>
      <c r="G76">
        <v>-30.734724057133164</v>
      </c>
      <c r="H76">
        <v>-57.259035590104773</v>
      </c>
      <c r="I76" t="s">
        <v>34</v>
      </c>
      <c r="J76">
        <v>11900</v>
      </c>
      <c r="K76" s="4" t="str">
        <f t="shared" si="1"/>
        <v>11</v>
      </c>
      <c r="L76" t="s">
        <v>336</v>
      </c>
      <c r="M76">
        <v>5</v>
      </c>
      <c r="N76" t="s">
        <v>250</v>
      </c>
      <c r="O76" t="s">
        <v>337</v>
      </c>
      <c r="P76">
        <v>547</v>
      </c>
      <c r="Q76">
        <v>71.739999999999995</v>
      </c>
      <c r="R76">
        <v>2301000</v>
      </c>
      <c r="S76">
        <v>10.7</v>
      </c>
      <c r="AA76">
        <v>11</v>
      </c>
      <c r="AB76" t="s">
        <v>38</v>
      </c>
      <c r="AC76" t="s">
        <v>39</v>
      </c>
      <c r="AD76">
        <v>200</v>
      </c>
    </row>
    <row r="77" spans="1:30" x14ac:dyDescent="0.25">
      <c r="A77" t="s">
        <v>29</v>
      </c>
      <c r="B77" t="s">
        <v>30</v>
      </c>
      <c r="C77" t="s">
        <v>31</v>
      </c>
      <c r="D77">
        <v>1751000</v>
      </c>
      <c r="E77" t="s">
        <v>51</v>
      </c>
      <c r="F77" t="s">
        <v>58</v>
      </c>
      <c r="G77">
        <v>-30.595757483672756</v>
      </c>
      <c r="H77">
        <v>-57.801523134112351</v>
      </c>
      <c r="I77" t="s">
        <v>34</v>
      </c>
      <c r="J77">
        <v>11600</v>
      </c>
      <c r="K77" s="4" t="str">
        <f t="shared" si="1"/>
        <v>11</v>
      </c>
      <c r="L77" t="s">
        <v>342</v>
      </c>
      <c r="M77">
        <v>8</v>
      </c>
      <c r="N77" t="s">
        <v>90</v>
      </c>
      <c r="O77" t="s">
        <v>343</v>
      </c>
      <c r="P77">
        <v>570</v>
      </c>
      <c r="Q77">
        <v>74.599999999999994</v>
      </c>
      <c r="R77">
        <v>1751000</v>
      </c>
      <c r="S77">
        <v>8.4</v>
      </c>
      <c r="AA77">
        <v>11</v>
      </c>
      <c r="AB77" t="s">
        <v>38</v>
      </c>
      <c r="AC77" t="s">
        <v>39</v>
      </c>
      <c r="AD77">
        <v>100</v>
      </c>
    </row>
    <row r="78" spans="1:30" x14ac:dyDescent="0.25">
      <c r="A78" t="s">
        <v>29</v>
      </c>
      <c r="B78" t="s">
        <v>30</v>
      </c>
      <c r="C78" t="s">
        <v>31</v>
      </c>
      <c r="D78">
        <v>777000</v>
      </c>
      <c r="E78" t="s">
        <v>51</v>
      </c>
      <c r="F78" t="s">
        <v>58</v>
      </c>
      <c r="G78">
        <v>-30.461873348841841</v>
      </c>
      <c r="H78">
        <v>-57.660136185586438</v>
      </c>
      <c r="I78" t="s">
        <v>42</v>
      </c>
      <c r="J78">
        <v>11400</v>
      </c>
      <c r="K78" s="4" t="str">
        <f t="shared" si="1"/>
        <v>11</v>
      </c>
      <c r="L78" t="s">
        <v>77</v>
      </c>
      <c r="N78" t="s">
        <v>78</v>
      </c>
      <c r="O78" t="s">
        <v>370</v>
      </c>
      <c r="P78">
        <v>370</v>
      </c>
      <c r="Q78">
        <v>38.299999999999997</v>
      </c>
      <c r="R78">
        <v>777000</v>
      </c>
      <c r="S78">
        <v>5.9</v>
      </c>
      <c r="AA78">
        <v>11</v>
      </c>
      <c r="AB78" t="s">
        <v>38</v>
      </c>
      <c r="AC78" t="s">
        <v>39</v>
      </c>
      <c r="AD78">
        <v>60</v>
      </c>
    </row>
    <row r="79" spans="1:30" x14ac:dyDescent="0.25">
      <c r="A79" t="s">
        <v>29</v>
      </c>
      <c r="B79" t="s">
        <v>30</v>
      </c>
      <c r="C79" t="s">
        <v>31</v>
      </c>
      <c r="D79">
        <v>4943000</v>
      </c>
      <c r="E79" t="s">
        <v>51</v>
      </c>
      <c r="F79" t="s">
        <v>58</v>
      </c>
      <c r="G79">
        <v>-30.959885314626739</v>
      </c>
      <c r="H79">
        <v>-56.658560303671315</v>
      </c>
      <c r="I79" t="s">
        <v>85</v>
      </c>
      <c r="J79">
        <v>12005</v>
      </c>
      <c r="K79" s="4" t="str">
        <f t="shared" si="1"/>
        <v>12</v>
      </c>
      <c r="L79" t="s">
        <v>92</v>
      </c>
      <c r="N79" t="s">
        <v>93</v>
      </c>
      <c r="O79" t="s">
        <v>94</v>
      </c>
      <c r="P79">
        <v>1000</v>
      </c>
      <c r="Q79">
        <v>133.34</v>
      </c>
      <c r="R79">
        <v>4943000</v>
      </c>
      <c r="S79">
        <v>12.75</v>
      </c>
      <c r="AA79">
        <v>12</v>
      </c>
      <c r="AB79" t="s">
        <v>57</v>
      </c>
      <c r="AC79" t="s">
        <v>39</v>
      </c>
      <c r="AD79">
        <v>245</v>
      </c>
    </row>
    <row r="80" spans="1:30" x14ac:dyDescent="0.25">
      <c r="A80" t="s">
        <v>29</v>
      </c>
      <c r="B80" t="s">
        <v>30</v>
      </c>
      <c r="C80" t="s">
        <v>31</v>
      </c>
      <c r="D80">
        <v>5642340</v>
      </c>
      <c r="E80" t="s">
        <v>51</v>
      </c>
      <c r="F80" t="s">
        <v>58</v>
      </c>
      <c r="G80">
        <v>-30.739861545905132</v>
      </c>
      <c r="H80">
        <v>-57.176589858338822</v>
      </c>
      <c r="I80" t="s">
        <v>85</v>
      </c>
      <c r="J80">
        <v>12800</v>
      </c>
      <c r="K80" s="4" t="str">
        <f t="shared" si="1"/>
        <v>12</v>
      </c>
      <c r="L80" t="s">
        <v>101</v>
      </c>
      <c r="M80">
        <v>5</v>
      </c>
      <c r="N80" t="s">
        <v>102</v>
      </c>
      <c r="O80" t="s">
        <v>103</v>
      </c>
      <c r="P80">
        <v>2730</v>
      </c>
      <c r="Q80">
        <v>176.5</v>
      </c>
      <c r="R80">
        <v>5642340</v>
      </c>
      <c r="S80">
        <v>11.2</v>
      </c>
      <c r="AA80">
        <v>12</v>
      </c>
      <c r="AB80" t="s">
        <v>38</v>
      </c>
      <c r="AC80" t="s">
        <v>39</v>
      </c>
      <c r="AD80">
        <v>0</v>
      </c>
    </row>
    <row r="81" spans="1:30" x14ac:dyDescent="0.25">
      <c r="A81" t="s">
        <v>29</v>
      </c>
      <c r="B81" t="s">
        <v>30</v>
      </c>
      <c r="C81" t="s">
        <v>31</v>
      </c>
      <c r="D81">
        <v>1166000</v>
      </c>
      <c r="E81" t="s">
        <v>51</v>
      </c>
      <c r="F81" t="s">
        <v>58</v>
      </c>
      <c r="G81">
        <v>-30.842249492156185</v>
      </c>
      <c r="H81">
        <v>-57.040079963320714</v>
      </c>
      <c r="I81" t="s">
        <v>85</v>
      </c>
      <c r="J81">
        <v>12510</v>
      </c>
      <c r="K81" s="4" t="str">
        <f t="shared" si="1"/>
        <v>12</v>
      </c>
      <c r="L81" t="s">
        <v>125</v>
      </c>
      <c r="N81" t="s">
        <v>126</v>
      </c>
      <c r="O81" t="s">
        <v>127</v>
      </c>
      <c r="P81">
        <v>2459</v>
      </c>
      <c r="Q81">
        <v>45.7</v>
      </c>
      <c r="R81">
        <v>1166000</v>
      </c>
      <c r="S81">
        <v>12</v>
      </c>
      <c r="AA81">
        <v>12</v>
      </c>
      <c r="AB81" t="s">
        <v>38</v>
      </c>
      <c r="AC81" t="s">
        <v>39</v>
      </c>
      <c r="AD81">
        <v>200</v>
      </c>
    </row>
    <row r="82" spans="1:30" x14ac:dyDescent="0.25">
      <c r="A82" t="s">
        <v>29</v>
      </c>
      <c r="B82" t="s">
        <v>30</v>
      </c>
      <c r="C82" t="s">
        <v>31</v>
      </c>
      <c r="D82">
        <v>2367300</v>
      </c>
      <c r="E82" t="s">
        <v>51</v>
      </c>
      <c r="F82" t="s">
        <v>58</v>
      </c>
      <c r="G82">
        <v>-30.865701403869537</v>
      </c>
      <c r="H82">
        <v>-57.359978784429309</v>
      </c>
      <c r="I82" t="s">
        <v>34</v>
      </c>
      <c r="J82">
        <v>12800</v>
      </c>
      <c r="K82" s="4" t="str">
        <f t="shared" si="1"/>
        <v>12</v>
      </c>
      <c r="L82" t="s">
        <v>138</v>
      </c>
      <c r="M82">
        <v>8</v>
      </c>
      <c r="N82" t="s">
        <v>102</v>
      </c>
      <c r="O82" t="s">
        <v>139</v>
      </c>
      <c r="P82">
        <v>600</v>
      </c>
      <c r="Q82">
        <v>78.7</v>
      </c>
      <c r="R82">
        <v>2367300</v>
      </c>
      <c r="S82">
        <v>7.1</v>
      </c>
      <c r="AA82">
        <v>12</v>
      </c>
      <c r="AB82" t="s">
        <v>38</v>
      </c>
      <c r="AC82" t="s">
        <v>39</v>
      </c>
      <c r="AD82">
        <v>0</v>
      </c>
    </row>
    <row r="83" spans="1:30" x14ac:dyDescent="0.25">
      <c r="A83" t="s">
        <v>29</v>
      </c>
      <c r="B83" t="s">
        <v>30</v>
      </c>
      <c r="C83" t="s">
        <v>31</v>
      </c>
      <c r="D83">
        <v>2072000</v>
      </c>
      <c r="E83" t="s">
        <v>51</v>
      </c>
      <c r="F83" t="s">
        <v>58</v>
      </c>
      <c r="G83">
        <v>-30.987797494659986</v>
      </c>
      <c r="H83">
        <v>-57.027128578803961</v>
      </c>
      <c r="I83" t="s">
        <v>42</v>
      </c>
      <c r="J83">
        <v>12550</v>
      </c>
      <c r="K83" s="4" t="str">
        <f t="shared" si="1"/>
        <v>12</v>
      </c>
      <c r="L83" t="s">
        <v>140</v>
      </c>
      <c r="M83">
        <v>6</v>
      </c>
      <c r="N83" t="s">
        <v>126</v>
      </c>
      <c r="O83" t="s">
        <v>141</v>
      </c>
      <c r="P83">
        <v>413</v>
      </c>
      <c r="Q83">
        <v>60.95</v>
      </c>
      <c r="R83">
        <v>2072000</v>
      </c>
      <c r="S83">
        <v>12</v>
      </c>
      <c r="AA83">
        <v>12</v>
      </c>
      <c r="AB83" t="s">
        <v>38</v>
      </c>
      <c r="AC83" t="s">
        <v>39</v>
      </c>
      <c r="AD83">
        <v>0</v>
      </c>
    </row>
    <row r="84" spans="1:30" x14ac:dyDescent="0.25">
      <c r="A84" t="s">
        <v>29</v>
      </c>
      <c r="B84" t="s">
        <v>30</v>
      </c>
      <c r="C84" t="s">
        <v>31</v>
      </c>
      <c r="D84">
        <v>3126000</v>
      </c>
      <c r="E84" t="s">
        <v>51</v>
      </c>
      <c r="F84" t="s">
        <v>58</v>
      </c>
      <c r="G84">
        <v>-30.839925307898078</v>
      </c>
      <c r="H84">
        <v>-56.897899395896538</v>
      </c>
      <c r="I84" t="s">
        <v>34</v>
      </c>
      <c r="J84">
        <v>12506</v>
      </c>
      <c r="K84" s="4" t="str">
        <f t="shared" si="1"/>
        <v>12</v>
      </c>
      <c r="L84" t="s">
        <v>153</v>
      </c>
      <c r="M84">
        <v>6</v>
      </c>
      <c r="N84" t="s">
        <v>126</v>
      </c>
      <c r="O84" t="s">
        <v>56</v>
      </c>
      <c r="P84">
        <v>750</v>
      </c>
      <c r="Q84">
        <v>151</v>
      </c>
      <c r="R84">
        <v>3126000</v>
      </c>
      <c r="S84">
        <v>8</v>
      </c>
      <c r="AA84">
        <v>12</v>
      </c>
      <c r="AB84" t="s">
        <v>38</v>
      </c>
      <c r="AC84" t="s">
        <v>154</v>
      </c>
    </row>
    <row r="85" spans="1:30" x14ac:dyDescent="0.25">
      <c r="A85" t="s">
        <v>29</v>
      </c>
      <c r="B85" t="s">
        <v>30</v>
      </c>
      <c r="C85" t="s">
        <v>31</v>
      </c>
      <c r="D85">
        <v>2209925</v>
      </c>
      <c r="E85" t="s">
        <v>51</v>
      </c>
      <c r="F85" t="s">
        <v>58</v>
      </c>
      <c r="G85">
        <v>-30.97466</v>
      </c>
      <c r="H85">
        <v>-57.156320000000001</v>
      </c>
      <c r="I85" t="s">
        <v>85</v>
      </c>
      <c r="J85">
        <v>12550</v>
      </c>
      <c r="K85" s="4" t="str">
        <f t="shared" si="1"/>
        <v>12</v>
      </c>
      <c r="L85" t="s">
        <v>190</v>
      </c>
      <c r="N85" t="s">
        <v>126</v>
      </c>
      <c r="O85" t="s">
        <v>56</v>
      </c>
      <c r="P85">
        <v>1032</v>
      </c>
      <c r="Q85">
        <v>66.959999999999994</v>
      </c>
      <c r="R85">
        <v>2250902</v>
      </c>
      <c r="S85">
        <v>11.75</v>
      </c>
      <c r="AA85">
        <v>12</v>
      </c>
      <c r="AB85" t="s">
        <v>38</v>
      </c>
      <c r="AC85" t="s">
        <v>39</v>
      </c>
      <c r="AD85">
        <v>150</v>
      </c>
    </row>
    <row r="86" spans="1:30" x14ac:dyDescent="0.25">
      <c r="A86" t="s">
        <v>29</v>
      </c>
      <c r="B86" t="s">
        <v>30</v>
      </c>
      <c r="C86" t="s">
        <v>31</v>
      </c>
      <c r="D86">
        <v>1087775</v>
      </c>
      <c r="E86" t="s">
        <v>51</v>
      </c>
      <c r="F86" t="s">
        <v>58</v>
      </c>
      <c r="G86">
        <v>-30.77079275975041</v>
      </c>
      <c r="H86">
        <v>-57.061618477999673</v>
      </c>
      <c r="I86" t="s">
        <v>34</v>
      </c>
      <c r="J86">
        <v>12530</v>
      </c>
      <c r="K86" s="4" t="str">
        <f t="shared" si="1"/>
        <v>12</v>
      </c>
      <c r="L86" t="s">
        <v>256</v>
      </c>
      <c r="N86" t="s">
        <v>126</v>
      </c>
      <c r="O86" t="s">
        <v>257</v>
      </c>
      <c r="P86">
        <v>540</v>
      </c>
      <c r="Q86">
        <v>40.880000000000003</v>
      </c>
      <c r="R86">
        <v>1087775</v>
      </c>
      <c r="S86">
        <v>8.8000000000000007</v>
      </c>
      <c r="AA86">
        <v>12</v>
      </c>
      <c r="AB86" t="s">
        <v>57</v>
      </c>
      <c r="AC86" t="s">
        <v>39</v>
      </c>
      <c r="AD86">
        <v>80</v>
      </c>
    </row>
    <row r="87" spans="1:30" x14ac:dyDescent="0.25">
      <c r="A87" t="s">
        <v>29</v>
      </c>
      <c r="B87" t="s">
        <v>30</v>
      </c>
      <c r="C87" t="s">
        <v>40</v>
      </c>
      <c r="D87">
        <v>11310000</v>
      </c>
      <c r="E87" t="s">
        <v>51</v>
      </c>
      <c r="F87" t="s">
        <v>58</v>
      </c>
      <c r="G87">
        <v>-31.196926476805498</v>
      </c>
      <c r="H87">
        <v>-57.349967096895796</v>
      </c>
      <c r="I87" t="s">
        <v>85</v>
      </c>
      <c r="J87">
        <v>13732</v>
      </c>
      <c r="K87" s="4" t="str">
        <f t="shared" si="1"/>
        <v>13</v>
      </c>
      <c r="L87" t="s">
        <v>117</v>
      </c>
      <c r="M87">
        <v>11</v>
      </c>
      <c r="N87" t="s">
        <v>118</v>
      </c>
      <c r="O87" t="s">
        <v>119</v>
      </c>
      <c r="P87">
        <v>5740</v>
      </c>
      <c r="Q87">
        <v>355</v>
      </c>
      <c r="R87">
        <v>11310000</v>
      </c>
      <c r="S87">
        <v>9</v>
      </c>
      <c r="AA87">
        <v>13</v>
      </c>
      <c r="AB87" t="s">
        <v>38</v>
      </c>
      <c r="AC87" t="s">
        <v>39</v>
      </c>
      <c r="AD87">
        <v>3467</v>
      </c>
    </row>
    <row r="88" spans="1:30" x14ac:dyDescent="0.25">
      <c r="A88" t="s">
        <v>29</v>
      </c>
      <c r="B88" t="s">
        <v>30</v>
      </c>
      <c r="C88" t="s">
        <v>40</v>
      </c>
      <c r="D88">
        <v>1569000</v>
      </c>
      <c r="E88" t="s">
        <v>51</v>
      </c>
      <c r="F88" t="s">
        <v>58</v>
      </c>
      <c r="G88">
        <v>-31.030059477167203</v>
      </c>
      <c r="H88">
        <v>-57.671663479820275</v>
      </c>
      <c r="I88" t="s">
        <v>42</v>
      </c>
      <c r="J88">
        <v>13910</v>
      </c>
      <c r="K88" s="4" t="str">
        <f t="shared" si="1"/>
        <v>13</v>
      </c>
      <c r="L88" t="s">
        <v>123</v>
      </c>
      <c r="M88">
        <v>11</v>
      </c>
      <c r="N88" t="s">
        <v>124</v>
      </c>
      <c r="O88" t="s">
        <v>56</v>
      </c>
      <c r="P88">
        <v>397</v>
      </c>
      <c r="Q88">
        <v>51</v>
      </c>
      <c r="R88">
        <v>1569000</v>
      </c>
      <c r="S88">
        <v>9.1999999999999993</v>
      </c>
      <c r="AA88">
        <v>13</v>
      </c>
      <c r="AB88" t="s">
        <v>57</v>
      </c>
      <c r="AC88" t="s">
        <v>39</v>
      </c>
      <c r="AD88">
        <v>0</v>
      </c>
    </row>
    <row r="89" spans="1:30" x14ac:dyDescent="0.25">
      <c r="A89" t="s">
        <v>29</v>
      </c>
      <c r="B89" t="s">
        <v>30</v>
      </c>
      <c r="C89" t="s">
        <v>40</v>
      </c>
      <c r="D89">
        <v>2963000</v>
      </c>
      <c r="E89" t="s">
        <v>51</v>
      </c>
      <c r="F89" t="s">
        <v>99</v>
      </c>
      <c r="G89">
        <v>-31.173929999999999</v>
      </c>
      <c r="H89">
        <v>-57.118340000000003</v>
      </c>
      <c r="I89" t="s">
        <v>42</v>
      </c>
      <c r="J89">
        <v>13593</v>
      </c>
      <c r="K89" s="4" t="str">
        <f t="shared" si="1"/>
        <v>13</v>
      </c>
      <c r="L89" t="s">
        <v>170</v>
      </c>
      <c r="M89">
        <v>7</v>
      </c>
      <c r="N89" t="s">
        <v>171</v>
      </c>
      <c r="O89" t="s">
        <v>172</v>
      </c>
      <c r="P89">
        <v>370</v>
      </c>
      <c r="Q89">
        <v>103</v>
      </c>
      <c r="R89">
        <v>2963000</v>
      </c>
      <c r="S89">
        <v>8</v>
      </c>
      <c r="AA89">
        <v>13</v>
      </c>
      <c r="AB89" t="s">
        <v>38</v>
      </c>
      <c r="AC89" t="s">
        <v>39</v>
      </c>
      <c r="AD89">
        <v>1640</v>
      </c>
    </row>
    <row r="90" spans="1:30" x14ac:dyDescent="0.25">
      <c r="A90" t="s">
        <v>29</v>
      </c>
      <c r="B90" t="s">
        <v>30</v>
      </c>
      <c r="C90" t="s">
        <v>40</v>
      </c>
      <c r="D90">
        <v>60523</v>
      </c>
      <c r="E90" t="s">
        <v>32</v>
      </c>
      <c r="F90" t="s">
        <v>33</v>
      </c>
      <c r="G90">
        <v>-31.81597</v>
      </c>
      <c r="H90">
        <v>-56.469850000000001</v>
      </c>
      <c r="I90" t="s">
        <v>160</v>
      </c>
      <c r="J90">
        <v>13504</v>
      </c>
      <c r="K90" s="4" t="str">
        <f t="shared" si="1"/>
        <v>13</v>
      </c>
      <c r="L90" t="s">
        <v>181</v>
      </c>
      <c r="M90">
        <v>5</v>
      </c>
      <c r="N90" t="s">
        <v>171</v>
      </c>
      <c r="O90" t="s">
        <v>45</v>
      </c>
      <c r="P90">
        <v>159</v>
      </c>
      <c r="Q90">
        <v>7.4</v>
      </c>
      <c r="R90">
        <v>60523</v>
      </c>
      <c r="S90">
        <v>2.85</v>
      </c>
      <c r="AA90">
        <v>13</v>
      </c>
      <c r="AB90" t="s">
        <v>38</v>
      </c>
      <c r="AC90" t="s">
        <v>50</v>
      </c>
      <c r="AD90">
        <v>0</v>
      </c>
    </row>
    <row r="91" spans="1:30" x14ac:dyDescent="0.25">
      <c r="A91" t="s">
        <v>29</v>
      </c>
      <c r="B91" t="s">
        <v>30</v>
      </c>
      <c r="C91" t="s">
        <v>40</v>
      </c>
      <c r="D91">
        <v>1645200</v>
      </c>
      <c r="E91" t="s">
        <v>51</v>
      </c>
      <c r="F91" t="s">
        <v>99</v>
      </c>
      <c r="G91">
        <v>-31.856480000000001</v>
      </c>
      <c r="H91">
        <v>-56.489400000000003</v>
      </c>
      <c r="I91" t="s">
        <v>42</v>
      </c>
      <c r="J91">
        <v>13510</v>
      </c>
      <c r="K91" s="4" t="str">
        <f t="shared" si="1"/>
        <v>13</v>
      </c>
      <c r="L91" t="s">
        <v>189</v>
      </c>
      <c r="N91" t="s">
        <v>171</v>
      </c>
      <c r="O91" t="s">
        <v>56</v>
      </c>
      <c r="P91">
        <v>475</v>
      </c>
      <c r="Q91">
        <v>95.2</v>
      </c>
      <c r="R91">
        <v>1645200</v>
      </c>
      <c r="S91">
        <v>5.3</v>
      </c>
      <c r="AA91">
        <v>13</v>
      </c>
      <c r="AB91" t="s">
        <v>38</v>
      </c>
      <c r="AC91" t="s">
        <v>39</v>
      </c>
      <c r="AD91">
        <v>198</v>
      </c>
    </row>
    <row r="92" spans="1:30" x14ac:dyDescent="0.25">
      <c r="A92" t="s">
        <v>29</v>
      </c>
      <c r="B92" t="s">
        <v>30</v>
      </c>
      <c r="C92" t="s">
        <v>40</v>
      </c>
      <c r="D92">
        <v>345800</v>
      </c>
      <c r="E92" t="s">
        <v>51</v>
      </c>
      <c r="F92" t="s">
        <v>58</v>
      </c>
      <c r="G92">
        <v>-31.232479999999999</v>
      </c>
      <c r="H92">
        <v>-57.206290000000003</v>
      </c>
      <c r="I92" t="s">
        <v>42</v>
      </c>
      <c r="J92">
        <v>13640</v>
      </c>
      <c r="K92" s="4" t="str">
        <f t="shared" si="1"/>
        <v>13</v>
      </c>
      <c r="L92" t="s">
        <v>196</v>
      </c>
      <c r="N92" t="s">
        <v>197</v>
      </c>
      <c r="O92" t="s">
        <v>56</v>
      </c>
      <c r="P92">
        <v>140</v>
      </c>
      <c r="Q92">
        <v>15.64</v>
      </c>
      <c r="R92">
        <v>345800</v>
      </c>
      <c r="S92">
        <v>6.7</v>
      </c>
      <c r="AA92">
        <v>13</v>
      </c>
      <c r="AB92" t="s">
        <v>38</v>
      </c>
      <c r="AC92" t="s">
        <v>39</v>
      </c>
      <c r="AD92">
        <v>717</v>
      </c>
    </row>
    <row r="93" spans="1:30" x14ac:dyDescent="0.25">
      <c r="A93" t="s">
        <v>29</v>
      </c>
      <c r="B93" t="s">
        <v>30</v>
      </c>
      <c r="C93" t="s">
        <v>40</v>
      </c>
      <c r="D93">
        <v>2025075</v>
      </c>
      <c r="E93" t="s">
        <v>51</v>
      </c>
      <c r="F93" t="s">
        <v>58</v>
      </c>
      <c r="G93">
        <v>-31.142980000000001</v>
      </c>
      <c r="H93">
        <v>-56.949779999999997</v>
      </c>
      <c r="I93" t="s">
        <v>85</v>
      </c>
      <c r="J93">
        <v>13415</v>
      </c>
      <c r="K93" s="4" t="str">
        <f t="shared" si="1"/>
        <v>13</v>
      </c>
      <c r="L93" t="s">
        <v>200</v>
      </c>
      <c r="N93" t="s">
        <v>201</v>
      </c>
      <c r="O93" t="s">
        <v>56</v>
      </c>
      <c r="P93">
        <v>1200</v>
      </c>
      <c r="Q93">
        <v>59.13</v>
      </c>
      <c r="R93">
        <v>2025075</v>
      </c>
      <c r="S93">
        <v>10.17</v>
      </c>
      <c r="AA93">
        <v>13</v>
      </c>
      <c r="AB93" t="s">
        <v>38</v>
      </c>
      <c r="AC93" t="s">
        <v>39</v>
      </c>
      <c r="AD93">
        <v>200</v>
      </c>
    </row>
    <row r="94" spans="1:30" x14ac:dyDescent="0.25">
      <c r="A94" t="s">
        <v>29</v>
      </c>
      <c r="B94" t="s">
        <v>30</v>
      </c>
      <c r="C94" t="s">
        <v>40</v>
      </c>
      <c r="D94">
        <v>786900</v>
      </c>
      <c r="E94" t="s">
        <v>51</v>
      </c>
      <c r="F94" t="s">
        <v>149</v>
      </c>
      <c r="G94">
        <v>-31.826742577707407</v>
      </c>
      <c r="H94">
        <v>-56.4811134519774</v>
      </c>
      <c r="I94" t="s">
        <v>42</v>
      </c>
      <c r="J94">
        <v>13510</v>
      </c>
      <c r="K94" s="4" t="str">
        <f t="shared" si="1"/>
        <v>13</v>
      </c>
      <c r="L94" t="s">
        <v>181</v>
      </c>
      <c r="N94" t="s">
        <v>171</v>
      </c>
      <c r="O94" t="s">
        <v>212</v>
      </c>
      <c r="P94">
        <v>167</v>
      </c>
      <c r="Q94">
        <v>61.43</v>
      </c>
      <c r="R94">
        <v>1403000</v>
      </c>
      <c r="S94">
        <v>8</v>
      </c>
      <c r="AA94">
        <v>13</v>
      </c>
      <c r="AB94" t="s">
        <v>57</v>
      </c>
      <c r="AC94" t="s">
        <v>39</v>
      </c>
      <c r="AD94">
        <v>325</v>
      </c>
    </row>
    <row r="95" spans="1:30" x14ac:dyDescent="0.25">
      <c r="A95" t="s">
        <v>29</v>
      </c>
      <c r="B95" t="s">
        <v>30</v>
      </c>
      <c r="C95" t="s">
        <v>40</v>
      </c>
      <c r="D95">
        <v>1743000</v>
      </c>
      <c r="E95" t="s">
        <v>51</v>
      </c>
      <c r="F95" t="s">
        <v>58</v>
      </c>
      <c r="G95">
        <v>-31.089463985406297</v>
      </c>
      <c r="H95">
        <v>-57.477210723945007</v>
      </c>
      <c r="I95" t="s">
        <v>42</v>
      </c>
      <c r="J95">
        <v>13800</v>
      </c>
      <c r="K95" s="4" t="str">
        <f t="shared" si="1"/>
        <v>13</v>
      </c>
      <c r="L95" t="s">
        <v>213</v>
      </c>
      <c r="N95" t="s">
        <v>214</v>
      </c>
      <c r="O95" t="s">
        <v>215</v>
      </c>
      <c r="P95">
        <v>446</v>
      </c>
      <c r="Q95">
        <v>80.069999999999993</v>
      </c>
      <c r="R95">
        <v>1743000</v>
      </c>
      <c r="S95">
        <v>7.55</v>
      </c>
      <c r="AA95">
        <v>13</v>
      </c>
      <c r="AB95" t="s">
        <v>57</v>
      </c>
      <c r="AC95" t="s">
        <v>39</v>
      </c>
      <c r="AD95">
        <v>100</v>
      </c>
    </row>
    <row r="96" spans="1:30" x14ac:dyDescent="0.25">
      <c r="A96" t="s">
        <v>29</v>
      </c>
      <c r="B96" t="s">
        <v>30</v>
      </c>
      <c r="C96" t="s">
        <v>40</v>
      </c>
      <c r="D96">
        <v>759000</v>
      </c>
      <c r="E96" t="s">
        <v>51</v>
      </c>
      <c r="F96" t="s">
        <v>97</v>
      </c>
      <c r="G96">
        <v>-31.73871583883161</v>
      </c>
      <c r="H96">
        <v>-56.591903414918768</v>
      </c>
      <c r="I96" t="s">
        <v>42</v>
      </c>
      <c r="J96">
        <v>13515</v>
      </c>
      <c r="K96" s="4" t="str">
        <f t="shared" si="1"/>
        <v>13</v>
      </c>
      <c r="L96" t="s">
        <v>252</v>
      </c>
      <c r="N96" t="s">
        <v>171</v>
      </c>
      <c r="O96" t="s">
        <v>253</v>
      </c>
      <c r="P96">
        <v>215</v>
      </c>
      <c r="Q96">
        <v>25.41</v>
      </c>
      <c r="R96">
        <v>759000</v>
      </c>
      <c r="S96">
        <v>8.5</v>
      </c>
      <c r="AA96">
        <v>13</v>
      </c>
      <c r="AB96" t="s">
        <v>57</v>
      </c>
      <c r="AC96" t="s">
        <v>39</v>
      </c>
      <c r="AD96">
        <v>52</v>
      </c>
    </row>
    <row r="97" spans="1:30" x14ac:dyDescent="0.25">
      <c r="A97" t="s">
        <v>29</v>
      </c>
      <c r="B97" t="s">
        <v>30</v>
      </c>
      <c r="C97" t="s">
        <v>40</v>
      </c>
      <c r="D97">
        <v>4209000</v>
      </c>
      <c r="E97" t="s">
        <v>51</v>
      </c>
      <c r="F97" t="s">
        <v>58</v>
      </c>
      <c r="G97">
        <v>-31.06697938918678</v>
      </c>
      <c r="H97">
        <v>-57.200137754613017</v>
      </c>
      <c r="I97" t="s">
        <v>85</v>
      </c>
      <c r="J97">
        <v>13730</v>
      </c>
      <c r="K97" s="4" t="str">
        <f t="shared" si="1"/>
        <v>13</v>
      </c>
      <c r="L97" t="s">
        <v>254</v>
      </c>
      <c r="N97" t="s">
        <v>118</v>
      </c>
      <c r="O97" t="s">
        <v>255</v>
      </c>
      <c r="P97">
        <v>1140</v>
      </c>
      <c r="Q97">
        <v>174</v>
      </c>
      <c r="R97">
        <v>4209000</v>
      </c>
      <c r="S97">
        <v>9</v>
      </c>
      <c r="AA97">
        <v>13</v>
      </c>
      <c r="AB97" t="s">
        <v>57</v>
      </c>
      <c r="AC97" t="s">
        <v>39</v>
      </c>
      <c r="AD97">
        <v>300</v>
      </c>
    </row>
    <row r="98" spans="1:30" x14ac:dyDescent="0.25">
      <c r="A98" t="s">
        <v>29</v>
      </c>
      <c r="B98" t="s">
        <v>30</v>
      </c>
      <c r="C98" t="s">
        <v>40</v>
      </c>
      <c r="D98">
        <v>308610</v>
      </c>
      <c r="E98" t="s">
        <v>51</v>
      </c>
      <c r="F98" t="s">
        <v>58</v>
      </c>
      <c r="G98">
        <v>-31.493946226716304</v>
      </c>
      <c r="H98">
        <v>-57.073858289731859</v>
      </c>
      <c r="I98" t="s">
        <v>53</v>
      </c>
      <c r="J98">
        <v>13557</v>
      </c>
      <c r="K98" s="4" t="str">
        <f t="shared" si="1"/>
        <v>13</v>
      </c>
      <c r="L98" t="s">
        <v>261</v>
      </c>
      <c r="N98" t="s">
        <v>171</v>
      </c>
      <c r="O98" t="s">
        <v>262</v>
      </c>
      <c r="P98">
        <v>120</v>
      </c>
      <c r="Q98">
        <v>24.8</v>
      </c>
      <c r="R98">
        <v>308610</v>
      </c>
      <c r="S98">
        <v>4</v>
      </c>
      <c r="AA98">
        <v>13</v>
      </c>
      <c r="AB98" t="s">
        <v>57</v>
      </c>
      <c r="AC98" t="s">
        <v>50</v>
      </c>
      <c r="AD98">
        <v>40</v>
      </c>
    </row>
    <row r="99" spans="1:30" x14ac:dyDescent="0.25">
      <c r="A99" t="s">
        <v>29</v>
      </c>
      <c r="B99" t="s">
        <v>30</v>
      </c>
      <c r="C99" t="s">
        <v>40</v>
      </c>
      <c r="D99">
        <v>3550</v>
      </c>
      <c r="E99" t="s">
        <v>32</v>
      </c>
      <c r="F99" t="s">
        <v>33</v>
      </c>
      <c r="G99">
        <v>-31.619370209240628</v>
      </c>
      <c r="H99">
        <v>-56.412961464375257</v>
      </c>
      <c r="I99" t="s">
        <v>160</v>
      </c>
      <c r="J99">
        <v>13500</v>
      </c>
      <c r="K99" s="4" t="str">
        <f t="shared" si="1"/>
        <v>13</v>
      </c>
      <c r="L99" t="s">
        <v>279</v>
      </c>
      <c r="N99" t="s">
        <v>171</v>
      </c>
      <c r="O99" t="s">
        <v>56</v>
      </c>
      <c r="P99">
        <v>18</v>
      </c>
      <c r="Q99">
        <v>2800</v>
      </c>
      <c r="R99">
        <v>3550</v>
      </c>
      <c r="S99">
        <v>3.5</v>
      </c>
      <c r="AA99">
        <v>13</v>
      </c>
      <c r="AB99" t="s">
        <v>38</v>
      </c>
      <c r="AC99" t="s">
        <v>50</v>
      </c>
    </row>
    <row r="100" spans="1:30" x14ac:dyDescent="0.25">
      <c r="A100" t="s">
        <v>29</v>
      </c>
      <c r="B100" t="s">
        <v>30</v>
      </c>
      <c r="C100" t="s">
        <v>40</v>
      </c>
      <c r="D100">
        <v>3659</v>
      </c>
      <c r="E100" t="s">
        <v>32</v>
      </c>
      <c r="F100" t="s">
        <v>33</v>
      </c>
      <c r="G100">
        <v>-31.632329917055678</v>
      </c>
      <c r="H100">
        <v>-56.409647427499301</v>
      </c>
      <c r="I100" t="s">
        <v>160</v>
      </c>
      <c r="J100">
        <v>13500</v>
      </c>
      <c r="K100" s="4" t="str">
        <f t="shared" si="1"/>
        <v>13</v>
      </c>
      <c r="L100" t="s">
        <v>280</v>
      </c>
      <c r="N100" t="s">
        <v>171</v>
      </c>
      <c r="O100" t="s">
        <v>56</v>
      </c>
      <c r="P100">
        <v>29</v>
      </c>
      <c r="Q100">
        <v>0.3075</v>
      </c>
      <c r="R100">
        <v>3659</v>
      </c>
      <c r="S100">
        <v>3</v>
      </c>
      <c r="AA100">
        <v>13</v>
      </c>
      <c r="AB100" t="s">
        <v>38</v>
      </c>
      <c r="AC100" t="s">
        <v>50</v>
      </c>
    </row>
    <row r="101" spans="1:30" x14ac:dyDescent="0.25">
      <c r="A101" t="s">
        <v>29</v>
      </c>
      <c r="B101" t="s">
        <v>30</v>
      </c>
      <c r="C101" t="s">
        <v>40</v>
      </c>
      <c r="D101">
        <v>12290</v>
      </c>
      <c r="E101" t="s">
        <v>32</v>
      </c>
      <c r="F101" t="s">
        <v>33</v>
      </c>
      <c r="G101">
        <v>-31.644277553045221</v>
      </c>
      <c r="H101">
        <v>-56.356346569955356</v>
      </c>
      <c r="I101" t="s">
        <v>53</v>
      </c>
      <c r="J101">
        <v>13500</v>
      </c>
      <c r="K101" s="4" t="str">
        <f t="shared" si="1"/>
        <v>13</v>
      </c>
      <c r="L101" t="s">
        <v>284</v>
      </c>
      <c r="M101">
        <v>5</v>
      </c>
      <c r="N101" t="s">
        <v>171</v>
      </c>
      <c r="O101" t="s">
        <v>56</v>
      </c>
      <c r="P101">
        <v>140</v>
      </c>
      <c r="Q101">
        <v>13100</v>
      </c>
      <c r="R101">
        <v>12290</v>
      </c>
      <c r="S101">
        <v>3</v>
      </c>
      <c r="AA101">
        <v>13</v>
      </c>
      <c r="AB101" t="s">
        <v>38</v>
      </c>
      <c r="AC101" t="s">
        <v>50</v>
      </c>
    </row>
    <row r="102" spans="1:30" x14ac:dyDescent="0.25">
      <c r="A102" t="s">
        <v>29</v>
      </c>
      <c r="B102" t="s">
        <v>30</v>
      </c>
      <c r="C102" t="s">
        <v>40</v>
      </c>
      <c r="D102">
        <v>6710</v>
      </c>
      <c r="E102" t="s">
        <v>32</v>
      </c>
      <c r="F102" t="s">
        <v>33</v>
      </c>
      <c r="G102">
        <v>-31.646226576749179</v>
      </c>
      <c r="H102">
        <v>-56.346303205937161</v>
      </c>
      <c r="I102" t="s">
        <v>53</v>
      </c>
      <c r="J102">
        <v>13500</v>
      </c>
      <c r="K102" s="4" t="str">
        <f t="shared" si="1"/>
        <v>13</v>
      </c>
      <c r="L102" t="s">
        <v>284</v>
      </c>
      <c r="M102">
        <v>5</v>
      </c>
      <c r="N102" t="s">
        <v>171</v>
      </c>
      <c r="O102" t="s">
        <v>56</v>
      </c>
      <c r="P102">
        <v>48</v>
      </c>
      <c r="Q102">
        <v>0.51749999999999996</v>
      </c>
      <c r="R102">
        <v>6710</v>
      </c>
      <c r="S102">
        <v>4</v>
      </c>
      <c r="AA102">
        <v>13</v>
      </c>
      <c r="AB102" t="s">
        <v>38</v>
      </c>
      <c r="AC102" t="s">
        <v>50</v>
      </c>
    </row>
    <row r="103" spans="1:30" x14ac:dyDescent="0.25">
      <c r="A103" t="s">
        <v>29</v>
      </c>
      <c r="B103" t="s">
        <v>30</v>
      </c>
      <c r="C103" t="s">
        <v>40</v>
      </c>
      <c r="D103">
        <v>724000</v>
      </c>
      <c r="E103" t="s">
        <v>32</v>
      </c>
      <c r="F103" t="s">
        <v>33</v>
      </c>
      <c r="G103">
        <v>-31.439524222072293</v>
      </c>
      <c r="H103">
        <v>-56.483729181345559</v>
      </c>
      <c r="I103" t="s">
        <v>46</v>
      </c>
      <c r="J103">
        <v>13572</v>
      </c>
      <c r="K103" s="4" t="str">
        <f t="shared" si="1"/>
        <v>13</v>
      </c>
      <c r="L103" t="s">
        <v>294</v>
      </c>
      <c r="N103" t="s">
        <v>171</v>
      </c>
      <c r="O103" t="s">
        <v>56</v>
      </c>
      <c r="P103">
        <v>3.4</v>
      </c>
      <c r="Q103">
        <v>0.08</v>
      </c>
      <c r="R103">
        <v>7.24</v>
      </c>
      <c r="S103">
        <v>2.5</v>
      </c>
      <c r="AA103">
        <v>13</v>
      </c>
      <c r="AB103" t="s">
        <v>38</v>
      </c>
      <c r="AC103" t="s">
        <v>50</v>
      </c>
    </row>
    <row r="104" spans="1:30" x14ac:dyDescent="0.25">
      <c r="A104" t="s">
        <v>29</v>
      </c>
      <c r="B104" t="s">
        <v>30</v>
      </c>
      <c r="C104" t="s">
        <v>40</v>
      </c>
      <c r="D104">
        <v>734000</v>
      </c>
      <c r="E104" t="s">
        <v>51</v>
      </c>
      <c r="F104" t="s">
        <v>97</v>
      </c>
      <c r="G104">
        <v>-31.739889853557614</v>
      </c>
      <c r="H104">
        <v>-56.562049436085047</v>
      </c>
      <c r="I104" t="s">
        <v>34</v>
      </c>
      <c r="J104">
        <v>13506</v>
      </c>
      <c r="K104" s="4" t="str">
        <f t="shared" si="1"/>
        <v>13</v>
      </c>
      <c r="L104" t="s">
        <v>299</v>
      </c>
      <c r="N104" t="s">
        <v>171</v>
      </c>
      <c r="O104" t="s">
        <v>56</v>
      </c>
      <c r="P104">
        <v>582</v>
      </c>
      <c r="Q104">
        <v>37.909999999999997</v>
      </c>
      <c r="R104">
        <v>734000</v>
      </c>
      <c r="S104">
        <v>7.45</v>
      </c>
      <c r="AA104">
        <v>13</v>
      </c>
      <c r="AB104" t="s">
        <v>65</v>
      </c>
      <c r="AC104" t="s">
        <v>39</v>
      </c>
      <c r="AD104">
        <v>175</v>
      </c>
    </row>
    <row r="105" spans="1:30" x14ac:dyDescent="0.25">
      <c r="A105" t="s">
        <v>29</v>
      </c>
      <c r="B105" t="s">
        <v>30</v>
      </c>
      <c r="C105" t="s">
        <v>40</v>
      </c>
      <c r="D105">
        <v>1624000</v>
      </c>
      <c r="E105" t="s">
        <v>51</v>
      </c>
      <c r="F105" t="s">
        <v>97</v>
      </c>
      <c r="G105">
        <v>-31.74567275131113</v>
      </c>
      <c r="H105">
        <v>-56.544894879164978</v>
      </c>
      <c r="I105" t="s">
        <v>85</v>
      </c>
      <c r="J105">
        <v>13506</v>
      </c>
      <c r="K105" s="4" t="str">
        <f t="shared" si="1"/>
        <v>13</v>
      </c>
      <c r="L105" t="s">
        <v>300</v>
      </c>
      <c r="N105" t="s">
        <v>171</v>
      </c>
      <c r="O105" t="s">
        <v>301</v>
      </c>
      <c r="P105">
        <v>1100</v>
      </c>
      <c r="Q105">
        <v>104.2</v>
      </c>
      <c r="R105">
        <v>1624000</v>
      </c>
      <c r="S105">
        <v>6.75</v>
      </c>
      <c r="AA105">
        <v>13</v>
      </c>
      <c r="AB105" t="s">
        <v>65</v>
      </c>
      <c r="AC105" t="s">
        <v>39</v>
      </c>
      <c r="AD105">
        <v>300</v>
      </c>
    </row>
    <row r="106" spans="1:30" x14ac:dyDescent="0.25">
      <c r="A106" t="s">
        <v>29</v>
      </c>
      <c r="B106" t="s">
        <v>30</v>
      </c>
      <c r="C106" t="s">
        <v>40</v>
      </c>
      <c r="D106">
        <v>4819000</v>
      </c>
      <c r="E106" t="s">
        <v>51</v>
      </c>
      <c r="F106" t="s">
        <v>58</v>
      </c>
      <c r="G106">
        <v>-31.183551760688239</v>
      </c>
      <c r="H106">
        <v>-56.876488211564713</v>
      </c>
      <c r="I106" t="s">
        <v>85</v>
      </c>
      <c r="J106">
        <v>13410</v>
      </c>
      <c r="K106" s="4" t="str">
        <f t="shared" si="1"/>
        <v>13</v>
      </c>
      <c r="L106" t="s">
        <v>302</v>
      </c>
      <c r="M106">
        <v>6</v>
      </c>
      <c r="N106" t="s">
        <v>201</v>
      </c>
      <c r="O106" t="s">
        <v>303</v>
      </c>
      <c r="P106">
        <v>1090</v>
      </c>
      <c r="Q106">
        <v>108.14</v>
      </c>
      <c r="R106">
        <v>4819000</v>
      </c>
      <c r="S106">
        <v>11.7</v>
      </c>
      <c r="AA106">
        <v>13</v>
      </c>
      <c r="AB106" t="s">
        <v>57</v>
      </c>
      <c r="AC106" t="s">
        <v>39</v>
      </c>
      <c r="AD106">
        <v>250</v>
      </c>
    </row>
    <row r="107" spans="1:30" x14ac:dyDescent="0.25">
      <c r="A107" t="s">
        <v>29</v>
      </c>
      <c r="B107" t="s">
        <v>30</v>
      </c>
      <c r="C107" t="s">
        <v>40</v>
      </c>
      <c r="D107">
        <v>2505000</v>
      </c>
      <c r="E107" t="s">
        <v>51</v>
      </c>
      <c r="F107" t="s">
        <v>58</v>
      </c>
      <c r="G107">
        <v>-31.217724717394866</v>
      </c>
      <c r="H107">
        <v>-57.418509367614362</v>
      </c>
      <c r="I107" t="s">
        <v>34</v>
      </c>
      <c r="J107">
        <v>13800</v>
      </c>
      <c r="K107" s="4" t="str">
        <f t="shared" si="1"/>
        <v>13</v>
      </c>
      <c r="L107" t="s">
        <v>221</v>
      </c>
      <c r="N107" t="s">
        <v>214</v>
      </c>
      <c r="O107" t="s">
        <v>313</v>
      </c>
      <c r="P107">
        <v>970</v>
      </c>
      <c r="Q107">
        <v>113.5</v>
      </c>
      <c r="R107">
        <v>2505000</v>
      </c>
      <c r="S107">
        <v>8</v>
      </c>
      <c r="AA107">
        <v>13</v>
      </c>
      <c r="AB107" t="s">
        <v>57</v>
      </c>
      <c r="AC107" t="s">
        <v>39</v>
      </c>
    </row>
    <row r="108" spans="1:30" x14ac:dyDescent="0.25">
      <c r="A108" t="s">
        <v>29</v>
      </c>
      <c r="B108" t="s">
        <v>30</v>
      </c>
      <c r="C108" t="s">
        <v>40</v>
      </c>
      <c r="D108">
        <v>26800</v>
      </c>
      <c r="E108" t="s">
        <v>32</v>
      </c>
      <c r="F108" t="s">
        <v>33</v>
      </c>
      <c r="G108">
        <v>-30.952490024136665</v>
      </c>
      <c r="H108">
        <v>-56.159836113802136</v>
      </c>
      <c r="I108" t="s">
        <v>160</v>
      </c>
      <c r="J108">
        <v>13120</v>
      </c>
      <c r="K108" s="4" t="str">
        <f t="shared" si="1"/>
        <v>13</v>
      </c>
      <c r="L108" t="s">
        <v>321</v>
      </c>
      <c r="M108">
        <v>9</v>
      </c>
      <c r="N108" t="s">
        <v>322</v>
      </c>
      <c r="O108" t="s">
        <v>56</v>
      </c>
      <c r="P108">
        <v>34</v>
      </c>
      <c r="Q108">
        <v>2.5</v>
      </c>
      <c r="R108">
        <v>26870</v>
      </c>
      <c r="S108">
        <v>3</v>
      </c>
      <c r="AA108">
        <v>13</v>
      </c>
      <c r="AB108" t="s">
        <v>38</v>
      </c>
      <c r="AC108" t="s">
        <v>50</v>
      </c>
    </row>
    <row r="109" spans="1:30" x14ac:dyDescent="0.25">
      <c r="A109" t="s">
        <v>29</v>
      </c>
      <c r="B109" t="s">
        <v>30</v>
      </c>
      <c r="C109" t="s">
        <v>40</v>
      </c>
      <c r="D109">
        <v>8114000</v>
      </c>
      <c r="E109" t="s">
        <v>51</v>
      </c>
      <c r="F109" t="s">
        <v>58</v>
      </c>
      <c r="G109">
        <v>-31.070081234436685</v>
      </c>
      <c r="H109">
        <v>-57.511127624928015</v>
      </c>
      <c r="I109" t="s">
        <v>85</v>
      </c>
      <c r="J109">
        <v>13800</v>
      </c>
      <c r="K109" s="4" t="str">
        <f t="shared" si="1"/>
        <v>13</v>
      </c>
      <c r="L109" t="s">
        <v>332</v>
      </c>
      <c r="N109" t="s">
        <v>214</v>
      </c>
      <c r="O109" t="s">
        <v>56</v>
      </c>
      <c r="P109">
        <v>2946</v>
      </c>
      <c r="Q109">
        <v>259</v>
      </c>
      <c r="R109">
        <v>8114000</v>
      </c>
      <c r="S109">
        <v>11</v>
      </c>
      <c r="AA109">
        <v>13</v>
      </c>
      <c r="AB109" t="s">
        <v>57</v>
      </c>
      <c r="AC109" t="s">
        <v>39</v>
      </c>
    </row>
    <row r="110" spans="1:30" x14ac:dyDescent="0.25">
      <c r="A110" t="s">
        <v>29</v>
      </c>
      <c r="B110" t="s">
        <v>30</v>
      </c>
      <c r="C110" t="s">
        <v>40</v>
      </c>
      <c r="D110">
        <v>2543000</v>
      </c>
      <c r="E110" t="s">
        <v>51</v>
      </c>
      <c r="F110" t="s">
        <v>58</v>
      </c>
      <c r="G110">
        <v>-31.392679999999999</v>
      </c>
      <c r="H110">
        <v>-57.185540000000003</v>
      </c>
      <c r="I110" t="s">
        <v>85</v>
      </c>
      <c r="J110">
        <v>13610</v>
      </c>
      <c r="K110" s="4" t="str">
        <f t="shared" si="1"/>
        <v>13</v>
      </c>
      <c r="L110" t="s">
        <v>348</v>
      </c>
      <c r="N110" t="s">
        <v>197</v>
      </c>
      <c r="O110" t="s">
        <v>56</v>
      </c>
      <c r="P110">
        <v>10600</v>
      </c>
      <c r="Q110">
        <v>89.3</v>
      </c>
      <c r="R110">
        <v>2543000</v>
      </c>
      <c r="S110">
        <v>10</v>
      </c>
      <c r="AA110">
        <v>13</v>
      </c>
      <c r="AB110" t="s">
        <v>65</v>
      </c>
      <c r="AC110" t="s">
        <v>39</v>
      </c>
      <c r="AD110">
        <v>535</v>
      </c>
    </row>
    <row r="111" spans="1:30" x14ac:dyDescent="0.25">
      <c r="A111" t="s">
        <v>29</v>
      </c>
      <c r="B111" t="s">
        <v>30</v>
      </c>
      <c r="C111" t="s">
        <v>40</v>
      </c>
      <c r="D111">
        <v>6719100</v>
      </c>
      <c r="E111" t="s">
        <v>51</v>
      </c>
      <c r="F111" t="s">
        <v>58</v>
      </c>
      <c r="G111">
        <v>-31.277588090221769</v>
      </c>
      <c r="H111">
        <v>-57.433810027727816</v>
      </c>
      <c r="I111" t="s">
        <v>85</v>
      </c>
      <c r="J111">
        <v>13800</v>
      </c>
      <c r="K111" s="4" t="str">
        <f t="shared" si="1"/>
        <v>13</v>
      </c>
      <c r="L111" t="s">
        <v>350</v>
      </c>
      <c r="N111" t="s">
        <v>214</v>
      </c>
      <c r="O111" t="s">
        <v>56</v>
      </c>
      <c r="P111">
        <v>2773</v>
      </c>
      <c r="Q111">
        <v>241</v>
      </c>
      <c r="R111">
        <v>6719100</v>
      </c>
      <c r="S111">
        <v>10.199999999999999</v>
      </c>
      <c r="AA111">
        <v>13</v>
      </c>
      <c r="AB111" t="s">
        <v>57</v>
      </c>
      <c r="AC111" t="s">
        <v>39</v>
      </c>
    </row>
    <row r="112" spans="1:30" x14ac:dyDescent="0.25">
      <c r="A112" t="s">
        <v>29</v>
      </c>
      <c r="B112" t="s">
        <v>30</v>
      </c>
      <c r="C112" t="s">
        <v>40</v>
      </c>
      <c r="D112">
        <v>817700</v>
      </c>
      <c r="E112" t="s">
        <v>51</v>
      </c>
      <c r="F112" t="s">
        <v>58</v>
      </c>
      <c r="G112">
        <v>-31.127876709841743</v>
      </c>
      <c r="H112">
        <v>-57.514295428991296</v>
      </c>
      <c r="I112" t="s">
        <v>34</v>
      </c>
      <c r="J112">
        <v>13800</v>
      </c>
      <c r="K112" s="4" t="str">
        <f t="shared" si="1"/>
        <v>13</v>
      </c>
      <c r="L112" t="s">
        <v>213</v>
      </c>
      <c r="N112" t="s">
        <v>214</v>
      </c>
      <c r="O112" t="s">
        <v>56</v>
      </c>
      <c r="P112">
        <v>540</v>
      </c>
      <c r="Q112">
        <v>39.200000000000003</v>
      </c>
      <c r="R112">
        <v>817700</v>
      </c>
      <c r="S112">
        <v>6.5</v>
      </c>
      <c r="AA112">
        <v>13</v>
      </c>
      <c r="AB112" t="s">
        <v>38</v>
      </c>
      <c r="AC112" t="s">
        <v>39</v>
      </c>
      <c r="AD112">
        <v>74</v>
      </c>
    </row>
    <row r="113" spans="1:30" x14ac:dyDescent="0.25">
      <c r="A113" t="s">
        <v>29</v>
      </c>
      <c r="B113" t="s">
        <v>30</v>
      </c>
      <c r="C113" t="s">
        <v>40</v>
      </c>
      <c r="D113">
        <v>3700000</v>
      </c>
      <c r="E113" t="s">
        <v>51</v>
      </c>
      <c r="F113" t="s">
        <v>97</v>
      </c>
      <c r="G113">
        <v>-31.123853329044092</v>
      </c>
      <c r="H113">
        <v>-57.108722629006394</v>
      </c>
      <c r="I113" t="s">
        <v>34</v>
      </c>
      <c r="J113">
        <v>13597</v>
      </c>
      <c r="K113" s="4" t="str">
        <f t="shared" si="1"/>
        <v>13</v>
      </c>
      <c r="L113" t="s">
        <v>170</v>
      </c>
      <c r="N113" t="s">
        <v>171</v>
      </c>
      <c r="O113" t="s">
        <v>56</v>
      </c>
      <c r="P113">
        <v>870</v>
      </c>
      <c r="Q113">
        <v>163.5</v>
      </c>
      <c r="R113">
        <v>3700000</v>
      </c>
      <c r="S113">
        <v>8.5</v>
      </c>
      <c r="AA113">
        <v>13</v>
      </c>
      <c r="AB113" t="s">
        <v>57</v>
      </c>
      <c r="AC113" t="s">
        <v>39</v>
      </c>
      <c r="AD113">
        <v>571</v>
      </c>
    </row>
    <row r="114" spans="1:30" x14ac:dyDescent="0.25">
      <c r="A114" t="s">
        <v>29</v>
      </c>
      <c r="B114" t="s">
        <v>30</v>
      </c>
      <c r="C114" t="s">
        <v>40</v>
      </c>
      <c r="D114">
        <v>1546000</v>
      </c>
      <c r="E114" t="s">
        <v>51</v>
      </c>
      <c r="F114" t="s">
        <v>58</v>
      </c>
      <c r="G114">
        <v>-31.189849372281948</v>
      </c>
      <c r="H114">
        <v>-57.092635738560666</v>
      </c>
      <c r="I114" t="s">
        <v>34</v>
      </c>
      <c r="J114">
        <v>13593</v>
      </c>
      <c r="K114" s="4" t="str">
        <f t="shared" si="1"/>
        <v>13</v>
      </c>
      <c r="L114" t="s">
        <v>366</v>
      </c>
      <c r="N114" t="s">
        <v>171</v>
      </c>
      <c r="O114" t="s">
        <v>56</v>
      </c>
      <c r="P114">
        <v>803</v>
      </c>
      <c r="Q114">
        <v>54.19</v>
      </c>
      <c r="R114">
        <v>1546000</v>
      </c>
      <c r="S114">
        <v>7.5</v>
      </c>
      <c r="AA114">
        <v>13</v>
      </c>
      <c r="AB114" t="s">
        <v>57</v>
      </c>
      <c r="AC114" t="s">
        <v>39</v>
      </c>
    </row>
    <row r="115" spans="1:30" x14ac:dyDescent="0.25">
      <c r="A115" t="s">
        <v>29</v>
      </c>
      <c r="B115" t="s">
        <v>30</v>
      </c>
      <c r="C115" t="s">
        <v>40</v>
      </c>
      <c r="D115">
        <v>1227327</v>
      </c>
      <c r="E115" t="s">
        <v>51</v>
      </c>
      <c r="F115" t="s">
        <v>58</v>
      </c>
      <c r="G115">
        <v>-31.10033</v>
      </c>
      <c r="H115">
        <v>-56.139409999999998</v>
      </c>
      <c r="I115" t="s">
        <v>42</v>
      </c>
      <c r="J115">
        <v>13100</v>
      </c>
      <c r="K115" s="4" t="str">
        <f t="shared" si="1"/>
        <v>13</v>
      </c>
      <c r="L115" t="s">
        <v>367</v>
      </c>
      <c r="N115" t="s">
        <v>322</v>
      </c>
      <c r="O115" t="s">
        <v>56</v>
      </c>
      <c r="P115">
        <v>390</v>
      </c>
      <c r="Q115">
        <v>62.76</v>
      </c>
      <c r="R115">
        <v>1227327</v>
      </c>
      <c r="S115">
        <v>7</v>
      </c>
      <c r="AA115">
        <v>13</v>
      </c>
      <c r="AB115" t="s">
        <v>57</v>
      </c>
      <c r="AC115" t="s">
        <v>39</v>
      </c>
    </row>
    <row r="116" spans="1:30" x14ac:dyDescent="0.25">
      <c r="A116" t="s">
        <v>29</v>
      </c>
      <c r="B116" t="s">
        <v>30</v>
      </c>
      <c r="C116" t="s">
        <v>40</v>
      </c>
      <c r="D116">
        <v>2611930</v>
      </c>
      <c r="E116" t="s">
        <v>51</v>
      </c>
      <c r="F116" t="s">
        <v>58</v>
      </c>
      <c r="G116">
        <v>-31.101150513529305</v>
      </c>
      <c r="H116">
        <v>-57.199954949319377</v>
      </c>
      <c r="I116" t="s">
        <v>34</v>
      </c>
      <c r="J116">
        <v>13650</v>
      </c>
      <c r="K116" s="4" t="str">
        <f t="shared" si="1"/>
        <v>13</v>
      </c>
      <c r="L116" t="s">
        <v>373</v>
      </c>
      <c r="N116" t="s">
        <v>197</v>
      </c>
      <c r="O116" t="s">
        <v>56</v>
      </c>
      <c r="P116">
        <v>600</v>
      </c>
      <c r="Q116">
        <v>93.24</v>
      </c>
      <c r="R116">
        <v>2632000</v>
      </c>
      <c r="S116">
        <v>9.8000000000000007</v>
      </c>
      <c r="AA116">
        <v>13</v>
      </c>
      <c r="AB116" t="s">
        <v>38</v>
      </c>
      <c r="AC116" t="s">
        <v>39</v>
      </c>
    </row>
    <row r="117" spans="1:30" x14ac:dyDescent="0.25">
      <c r="A117" t="s">
        <v>29</v>
      </c>
      <c r="B117" t="s">
        <v>30</v>
      </c>
      <c r="C117" t="s">
        <v>40</v>
      </c>
      <c r="D117">
        <v>2601</v>
      </c>
      <c r="E117" t="s">
        <v>32</v>
      </c>
      <c r="F117" t="s">
        <v>33</v>
      </c>
      <c r="G117">
        <v>-31.375270151697432</v>
      </c>
      <c r="H117">
        <v>-57.929864156117574</v>
      </c>
      <c r="I117" t="s">
        <v>46</v>
      </c>
      <c r="J117">
        <v>14810</v>
      </c>
      <c r="K117" s="4" t="str">
        <f t="shared" si="1"/>
        <v>14</v>
      </c>
      <c r="L117" t="s">
        <v>47</v>
      </c>
      <c r="N117" t="s">
        <v>48</v>
      </c>
      <c r="O117" t="s">
        <v>49</v>
      </c>
      <c r="P117">
        <v>23</v>
      </c>
      <c r="Q117">
        <v>0.72</v>
      </c>
      <c r="R117">
        <v>2601</v>
      </c>
      <c r="S117">
        <v>2</v>
      </c>
      <c r="AA117">
        <v>14</v>
      </c>
      <c r="AB117" t="s">
        <v>38</v>
      </c>
      <c r="AC117" t="s">
        <v>50</v>
      </c>
    </row>
    <row r="118" spans="1:30" x14ac:dyDescent="0.25">
      <c r="A118" t="s">
        <v>29</v>
      </c>
      <c r="B118" t="s">
        <v>30</v>
      </c>
      <c r="C118" t="s">
        <v>40</v>
      </c>
      <c r="D118">
        <v>52000</v>
      </c>
      <c r="E118" t="s">
        <v>32</v>
      </c>
      <c r="F118" t="s">
        <v>33</v>
      </c>
      <c r="G118">
        <v>-31.290868944032791</v>
      </c>
      <c r="H118">
        <v>-57.644993807351362</v>
      </c>
      <c r="I118" t="s">
        <v>42</v>
      </c>
      <c r="J118">
        <v>14620</v>
      </c>
      <c r="K118" s="4" t="str">
        <f t="shared" si="1"/>
        <v>14</v>
      </c>
      <c r="L118" t="s">
        <v>72</v>
      </c>
      <c r="M118">
        <v>11</v>
      </c>
      <c r="N118" t="s">
        <v>73</v>
      </c>
      <c r="O118" t="s">
        <v>74</v>
      </c>
      <c r="P118">
        <v>320</v>
      </c>
      <c r="Q118">
        <v>50</v>
      </c>
      <c r="R118">
        <v>1109000</v>
      </c>
      <c r="S118">
        <v>5.2</v>
      </c>
      <c r="AA118">
        <v>14</v>
      </c>
      <c r="AB118" t="s">
        <v>38</v>
      </c>
      <c r="AC118" t="s">
        <v>50</v>
      </c>
      <c r="AD118">
        <v>50</v>
      </c>
    </row>
    <row r="119" spans="1:30" x14ac:dyDescent="0.25">
      <c r="A119" t="s">
        <v>29</v>
      </c>
      <c r="B119" t="s">
        <v>30</v>
      </c>
      <c r="C119" t="s">
        <v>40</v>
      </c>
      <c r="D119">
        <v>21000</v>
      </c>
      <c r="E119" t="s">
        <v>51</v>
      </c>
      <c r="F119" t="s">
        <v>120</v>
      </c>
      <c r="G119">
        <v>-31.356190000000002</v>
      </c>
      <c r="H119">
        <v>-57.949539999999999</v>
      </c>
      <c r="I119" t="s">
        <v>53</v>
      </c>
      <c r="J119">
        <v>14800</v>
      </c>
      <c r="K119" s="4" t="str">
        <f t="shared" si="1"/>
        <v>14</v>
      </c>
      <c r="L119" t="s">
        <v>121</v>
      </c>
      <c r="N119" t="s">
        <v>48</v>
      </c>
      <c r="O119" t="s">
        <v>122</v>
      </c>
      <c r="P119">
        <v>181</v>
      </c>
      <c r="Q119">
        <v>2.09</v>
      </c>
      <c r="R119">
        <v>21000</v>
      </c>
      <c r="S119">
        <v>3.5</v>
      </c>
      <c r="AA119">
        <v>14</v>
      </c>
      <c r="AB119" t="s">
        <v>38</v>
      </c>
      <c r="AC119" t="s">
        <v>50</v>
      </c>
      <c r="AD119">
        <v>10.5</v>
      </c>
    </row>
    <row r="120" spans="1:30" x14ac:dyDescent="0.25">
      <c r="A120" t="s">
        <v>29</v>
      </c>
      <c r="B120" t="s">
        <v>30</v>
      </c>
      <c r="C120" t="s">
        <v>40</v>
      </c>
      <c r="D120">
        <v>3120</v>
      </c>
      <c r="E120" t="s">
        <v>51</v>
      </c>
      <c r="F120" t="s">
        <v>149</v>
      </c>
      <c r="G120">
        <v>-31.411084197565202</v>
      </c>
      <c r="H120">
        <v>-57.962589708456946</v>
      </c>
      <c r="I120" t="s">
        <v>34</v>
      </c>
      <c r="J120">
        <v>14810</v>
      </c>
      <c r="K120" s="4" t="str">
        <f t="shared" si="1"/>
        <v>14</v>
      </c>
      <c r="L120" t="s">
        <v>150</v>
      </c>
      <c r="N120" t="s">
        <v>48</v>
      </c>
      <c r="O120" t="s">
        <v>151</v>
      </c>
      <c r="P120">
        <v>503</v>
      </c>
      <c r="Q120">
        <v>0.7</v>
      </c>
      <c r="R120">
        <v>3120</v>
      </c>
      <c r="S120">
        <v>21.8</v>
      </c>
      <c r="AA120">
        <v>14</v>
      </c>
      <c r="AB120" t="s">
        <v>38</v>
      </c>
      <c r="AC120" t="s">
        <v>50</v>
      </c>
      <c r="AD120">
        <v>0</v>
      </c>
    </row>
    <row r="121" spans="1:30" x14ac:dyDescent="0.25">
      <c r="A121" t="s">
        <v>29</v>
      </c>
      <c r="B121" t="s">
        <v>30</v>
      </c>
      <c r="C121" t="s">
        <v>40</v>
      </c>
      <c r="D121">
        <v>1716</v>
      </c>
      <c r="E121" t="s">
        <v>51</v>
      </c>
      <c r="F121" t="s">
        <v>184</v>
      </c>
      <c r="G121">
        <v>-31.073170000000001</v>
      </c>
      <c r="H121">
        <v>-57.835740000000001</v>
      </c>
      <c r="I121" t="s">
        <v>46</v>
      </c>
      <c r="J121">
        <v>14210</v>
      </c>
      <c r="K121" s="4" t="str">
        <f t="shared" si="1"/>
        <v>14</v>
      </c>
      <c r="L121" t="s">
        <v>185</v>
      </c>
      <c r="N121" t="s">
        <v>186</v>
      </c>
      <c r="O121" t="s">
        <v>167</v>
      </c>
      <c r="P121">
        <v>24.5</v>
      </c>
      <c r="Q121">
        <v>0.10199999999999999</v>
      </c>
      <c r="R121">
        <v>1716</v>
      </c>
      <c r="S121">
        <v>2.1</v>
      </c>
      <c r="AA121">
        <v>14</v>
      </c>
      <c r="AB121" t="s">
        <v>38</v>
      </c>
      <c r="AC121" t="s">
        <v>50</v>
      </c>
      <c r="AD121">
        <v>1</v>
      </c>
    </row>
    <row r="122" spans="1:30" x14ac:dyDescent="0.25">
      <c r="A122" t="s">
        <v>29</v>
      </c>
      <c r="B122" t="s">
        <v>30</v>
      </c>
      <c r="C122" t="s">
        <v>40</v>
      </c>
      <c r="D122">
        <v>84000</v>
      </c>
      <c r="E122" t="s">
        <v>51</v>
      </c>
      <c r="F122" t="s">
        <v>120</v>
      </c>
      <c r="G122">
        <v>-31.356649999999998</v>
      </c>
      <c r="H122">
        <v>-57.953360000000004</v>
      </c>
      <c r="I122" t="s">
        <v>53</v>
      </c>
      <c r="J122">
        <v>14800</v>
      </c>
      <c r="K122" s="4" t="str">
        <f t="shared" si="1"/>
        <v>14</v>
      </c>
      <c r="L122" t="s">
        <v>121</v>
      </c>
      <c r="M122">
        <v>2</v>
      </c>
      <c r="N122" t="s">
        <v>48</v>
      </c>
      <c r="O122" t="s">
        <v>56</v>
      </c>
      <c r="P122">
        <v>224</v>
      </c>
      <c r="Q122">
        <v>4.07</v>
      </c>
      <c r="R122">
        <v>84000</v>
      </c>
      <c r="S122">
        <v>4.75</v>
      </c>
      <c r="AA122">
        <v>14</v>
      </c>
      <c r="AB122" t="s">
        <v>38</v>
      </c>
      <c r="AC122" t="s">
        <v>50</v>
      </c>
      <c r="AD122">
        <v>10.5</v>
      </c>
    </row>
    <row r="123" spans="1:30" x14ac:dyDescent="0.25">
      <c r="A123" t="s">
        <v>29</v>
      </c>
      <c r="B123" t="s">
        <v>30</v>
      </c>
      <c r="C123" t="s">
        <v>40</v>
      </c>
      <c r="D123">
        <v>137500</v>
      </c>
      <c r="E123" t="s">
        <v>51</v>
      </c>
      <c r="F123" t="s">
        <v>120</v>
      </c>
      <c r="G123">
        <v>-31.31398175626676</v>
      </c>
      <c r="H123">
        <v>-57.922003399971615</v>
      </c>
      <c r="I123" t="s">
        <v>42</v>
      </c>
      <c r="J123">
        <v>14800</v>
      </c>
      <c r="K123" s="4" t="str">
        <f t="shared" si="1"/>
        <v>14</v>
      </c>
      <c r="L123" t="s">
        <v>216</v>
      </c>
      <c r="M123">
        <v>2</v>
      </c>
      <c r="N123" t="s">
        <v>48</v>
      </c>
      <c r="O123" t="s">
        <v>217</v>
      </c>
      <c r="P123">
        <v>21</v>
      </c>
      <c r="Q123">
        <v>5.15</v>
      </c>
      <c r="R123">
        <v>137500</v>
      </c>
      <c r="S123">
        <v>7.7</v>
      </c>
      <c r="AA123">
        <v>14</v>
      </c>
      <c r="AB123" t="s">
        <v>57</v>
      </c>
      <c r="AC123" t="s">
        <v>50</v>
      </c>
    </row>
    <row r="124" spans="1:30" x14ac:dyDescent="0.25">
      <c r="A124" t="s">
        <v>29</v>
      </c>
      <c r="B124" t="s">
        <v>30</v>
      </c>
      <c r="C124" t="s">
        <v>40</v>
      </c>
      <c r="D124">
        <v>98000</v>
      </c>
      <c r="E124" t="s">
        <v>51</v>
      </c>
      <c r="F124" t="s">
        <v>120</v>
      </c>
      <c r="G124">
        <v>-31.311440000000001</v>
      </c>
      <c r="H124">
        <v>-57.921309999999998</v>
      </c>
      <c r="I124" t="s">
        <v>42</v>
      </c>
      <c r="J124">
        <v>14800</v>
      </c>
      <c r="K124" s="4" t="str">
        <f t="shared" si="1"/>
        <v>14</v>
      </c>
      <c r="L124" t="s">
        <v>216</v>
      </c>
      <c r="M124">
        <v>1</v>
      </c>
      <c r="N124" t="s">
        <v>48</v>
      </c>
      <c r="O124" t="s">
        <v>56</v>
      </c>
      <c r="P124">
        <v>44</v>
      </c>
      <c r="Q124">
        <v>5</v>
      </c>
      <c r="R124">
        <v>114000</v>
      </c>
      <c r="S124">
        <v>5</v>
      </c>
      <c r="AA124">
        <v>14</v>
      </c>
      <c r="AB124" t="s">
        <v>38</v>
      </c>
      <c r="AC124" t="s">
        <v>50</v>
      </c>
      <c r="AD124">
        <v>30</v>
      </c>
    </row>
    <row r="125" spans="1:30" x14ac:dyDescent="0.25">
      <c r="A125" t="s">
        <v>29</v>
      </c>
      <c r="B125" t="s">
        <v>30</v>
      </c>
      <c r="C125" t="s">
        <v>40</v>
      </c>
      <c r="D125">
        <v>50379</v>
      </c>
      <c r="E125" t="s">
        <v>51</v>
      </c>
      <c r="F125" t="s">
        <v>120</v>
      </c>
      <c r="G125">
        <v>-31.313130000000001</v>
      </c>
      <c r="H125">
        <v>-57.91254</v>
      </c>
      <c r="I125" t="s">
        <v>160</v>
      </c>
      <c r="J125">
        <v>14800</v>
      </c>
      <c r="K125" s="4" t="str">
        <f t="shared" si="1"/>
        <v>14</v>
      </c>
      <c r="L125" t="s">
        <v>216</v>
      </c>
      <c r="N125" t="s">
        <v>48</v>
      </c>
      <c r="O125" t="s">
        <v>45</v>
      </c>
      <c r="P125">
        <v>44</v>
      </c>
      <c r="Q125">
        <v>3.99</v>
      </c>
      <c r="R125">
        <v>53500</v>
      </c>
      <c r="S125">
        <v>4</v>
      </c>
      <c r="AA125">
        <v>14</v>
      </c>
      <c r="AB125" t="s">
        <v>57</v>
      </c>
      <c r="AC125" t="s">
        <v>50</v>
      </c>
      <c r="AD125">
        <v>275</v>
      </c>
    </row>
    <row r="126" spans="1:30" x14ac:dyDescent="0.25">
      <c r="A126" t="s">
        <v>29</v>
      </c>
      <c r="B126" t="s">
        <v>30</v>
      </c>
      <c r="C126" t="s">
        <v>40</v>
      </c>
      <c r="D126">
        <v>17000</v>
      </c>
      <c r="E126" t="s">
        <v>51</v>
      </c>
      <c r="F126" t="s">
        <v>120</v>
      </c>
      <c r="G126">
        <v>-31.31701</v>
      </c>
      <c r="H126">
        <v>-57.92163</v>
      </c>
      <c r="I126" t="s">
        <v>53</v>
      </c>
      <c r="J126">
        <v>14800</v>
      </c>
      <c r="K126" s="4" t="str">
        <f t="shared" si="1"/>
        <v>14</v>
      </c>
      <c r="L126" t="s">
        <v>216</v>
      </c>
      <c r="M126">
        <v>1</v>
      </c>
      <c r="N126" t="s">
        <v>48</v>
      </c>
      <c r="O126" t="s">
        <v>56</v>
      </c>
      <c r="P126">
        <v>82</v>
      </c>
      <c r="Q126">
        <v>2.2000000000000002</v>
      </c>
      <c r="R126">
        <v>17000</v>
      </c>
      <c r="S126">
        <v>3.1</v>
      </c>
      <c r="AA126">
        <v>14</v>
      </c>
      <c r="AB126" t="s">
        <v>57</v>
      </c>
      <c r="AC126" t="s">
        <v>50</v>
      </c>
      <c r="AD126">
        <v>28</v>
      </c>
    </row>
    <row r="127" spans="1:30" x14ac:dyDescent="0.25">
      <c r="A127" t="s">
        <v>29</v>
      </c>
      <c r="B127" t="s">
        <v>30</v>
      </c>
      <c r="C127" t="s">
        <v>40</v>
      </c>
      <c r="D127">
        <v>11000</v>
      </c>
      <c r="E127" t="s">
        <v>51</v>
      </c>
      <c r="F127" t="s">
        <v>120</v>
      </c>
      <c r="G127">
        <v>-31.319130000000001</v>
      </c>
      <c r="H127">
        <v>-57.916679999999999</v>
      </c>
      <c r="I127" t="s">
        <v>53</v>
      </c>
      <c r="J127">
        <v>14800</v>
      </c>
      <c r="K127" s="4" t="str">
        <f t="shared" si="1"/>
        <v>14</v>
      </c>
      <c r="L127" t="s">
        <v>216</v>
      </c>
      <c r="N127" t="s">
        <v>48</v>
      </c>
      <c r="O127" t="s">
        <v>56</v>
      </c>
      <c r="P127">
        <v>130</v>
      </c>
      <c r="Q127">
        <v>2.06</v>
      </c>
      <c r="R127">
        <v>11000</v>
      </c>
      <c r="S127">
        <v>3.5</v>
      </c>
      <c r="AA127">
        <v>14</v>
      </c>
      <c r="AB127" t="s">
        <v>57</v>
      </c>
      <c r="AC127" t="s">
        <v>50</v>
      </c>
      <c r="AD127">
        <v>24</v>
      </c>
    </row>
    <row r="128" spans="1:30" x14ac:dyDescent="0.25">
      <c r="A128" t="s">
        <v>29</v>
      </c>
      <c r="B128" t="s">
        <v>30</v>
      </c>
      <c r="C128" t="s">
        <v>40</v>
      </c>
      <c r="D128">
        <v>10650</v>
      </c>
      <c r="E128" t="s">
        <v>51</v>
      </c>
      <c r="F128" t="s">
        <v>120</v>
      </c>
      <c r="G128">
        <v>-31.311734550590948</v>
      </c>
      <c r="H128">
        <v>-57.920001895108712</v>
      </c>
      <c r="I128" t="s">
        <v>46</v>
      </c>
      <c r="J128">
        <v>14800</v>
      </c>
      <c r="K128" s="4" t="str">
        <f t="shared" si="1"/>
        <v>14</v>
      </c>
      <c r="L128" t="s">
        <v>216</v>
      </c>
      <c r="N128" t="s">
        <v>48</v>
      </c>
      <c r="O128" t="s">
        <v>56</v>
      </c>
      <c r="P128">
        <v>44</v>
      </c>
      <c r="Q128">
        <v>1.5</v>
      </c>
      <c r="R128">
        <v>10650</v>
      </c>
      <c r="S128">
        <v>2.8</v>
      </c>
      <c r="AA128">
        <v>14</v>
      </c>
      <c r="AB128" t="s">
        <v>57</v>
      </c>
      <c r="AC128" t="s">
        <v>50</v>
      </c>
      <c r="AD128">
        <v>540</v>
      </c>
    </row>
    <row r="129" spans="1:30" x14ac:dyDescent="0.25">
      <c r="A129" t="s">
        <v>29</v>
      </c>
      <c r="B129" t="s">
        <v>30</v>
      </c>
      <c r="C129" t="s">
        <v>40</v>
      </c>
      <c r="D129">
        <v>6836000</v>
      </c>
      <c r="E129" t="s">
        <v>51</v>
      </c>
      <c r="F129" t="s">
        <v>58</v>
      </c>
      <c r="G129">
        <v>-31.364946471141359</v>
      </c>
      <c r="H129">
        <v>-57.470419431902812</v>
      </c>
      <c r="I129" t="s">
        <v>85</v>
      </c>
      <c r="J129">
        <v>14600</v>
      </c>
      <c r="K129" s="4" t="str">
        <f t="shared" si="1"/>
        <v>14</v>
      </c>
      <c r="L129" t="s">
        <v>221</v>
      </c>
      <c r="N129" t="s">
        <v>73</v>
      </c>
      <c r="O129" t="s">
        <v>222</v>
      </c>
      <c r="P129">
        <v>2150</v>
      </c>
      <c r="Q129">
        <v>253.84</v>
      </c>
      <c r="R129">
        <v>6836000</v>
      </c>
      <c r="S129">
        <v>11.4</v>
      </c>
      <c r="AA129">
        <v>14</v>
      </c>
      <c r="AB129" t="s">
        <v>57</v>
      </c>
      <c r="AC129" t="s">
        <v>39</v>
      </c>
      <c r="AD129">
        <v>0</v>
      </c>
    </row>
    <row r="130" spans="1:30" x14ac:dyDescent="0.25">
      <c r="A130" t="s">
        <v>29</v>
      </c>
      <c r="B130" t="s">
        <v>30</v>
      </c>
      <c r="C130" t="s">
        <v>40</v>
      </c>
      <c r="D130">
        <v>1456000</v>
      </c>
      <c r="E130" t="s">
        <v>51</v>
      </c>
      <c r="F130" t="s">
        <v>58</v>
      </c>
      <c r="G130">
        <v>-31.407602728688431</v>
      </c>
      <c r="H130">
        <v>-57.413769881619828</v>
      </c>
      <c r="I130" t="s">
        <v>34</v>
      </c>
      <c r="J130">
        <v>14600</v>
      </c>
      <c r="K130" s="4" t="str">
        <f t="shared" ref="K130:K195" si="2">LEFT(J130,2)</f>
        <v>14</v>
      </c>
      <c r="L130" t="s">
        <v>223</v>
      </c>
      <c r="N130" t="s">
        <v>73</v>
      </c>
      <c r="O130" t="s">
        <v>224</v>
      </c>
      <c r="P130">
        <v>620</v>
      </c>
      <c r="Q130">
        <v>73.8</v>
      </c>
      <c r="R130">
        <v>1456000</v>
      </c>
      <c r="S130">
        <v>7.5</v>
      </c>
      <c r="AA130">
        <v>14</v>
      </c>
      <c r="AB130" t="s">
        <v>57</v>
      </c>
      <c r="AC130" t="s">
        <v>39</v>
      </c>
      <c r="AD130">
        <v>90</v>
      </c>
    </row>
    <row r="131" spans="1:30" x14ac:dyDescent="0.25">
      <c r="A131" t="s">
        <v>29</v>
      </c>
      <c r="B131" t="s">
        <v>30</v>
      </c>
      <c r="C131" t="s">
        <v>40</v>
      </c>
      <c r="D131">
        <v>3877000</v>
      </c>
      <c r="E131" t="s">
        <v>51</v>
      </c>
      <c r="F131" t="s">
        <v>58</v>
      </c>
      <c r="G131">
        <v>-31.316261287040657</v>
      </c>
      <c r="H131">
        <v>-57.628578921636816</v>
      </c>
      <c r="I131" t="s">
        <v>85</v>
      </c>
      <c r="J131">
        <v>14600</v>
      </c>
      <c r="K131" s="4" t="str">
        <f t="shared" si="2"/>
        <v>14</v>
      </c>
      <c r="L131" t="s">
        <v>239</v>
      </c>
      <c r="N131" t="s">
        <v>73</v>
      </c>
      <c r="O131" t="s">
        <v>240</v>
      </c>
      <c r="P131">
        <v>1720</v>
      </c>
      <c r="Q131">
        <v>180.4</v>
      </c>
      <c r="R131">
        <v>3877000</v>
      </c>
      <c r="S131">
        <v>9</v>
      </c>
      <c r="AA131">
        <v>14</v>
      </c>
      <c r="AB131" t="s">
        <v>57</v>
      </c>
      <c r="AC131" t="s">
        <v>39</v>
      </c>
    </row>
    <row r="132" spans="1:30" x14ac:dyDescent="0.25">
      <c r="A132" t="s">
        <v>29</v>
      </c>
      <c r="B132" t="s">
        <v>30</v>
      </c>
      <c r="C132" t="s">
        <v>40</v>
      </c>
      <c r="D132">
        <v>55000</v>
      </c>
      <c r="E132" t="s">
        <v>51</v>
      </c>
      <c r="F132" t="s">
        <v>120</v>
      </c>
      <c r="G132">
        <v>-31.319130000000001</v>
      </c>
      <c r="H132">
        <v>-57.916679999999999</v>
      </c>
      <c r="I132" t="s">
        <v>53</v>
      </c>
      <c r="J132">
        <v>14800</v>
      </c>
      <c r="K132" s="4" t="str">
        <f t="shared" si="2"/>
        <v>14</v>
      </c>
      <c r="L132" t="s">
        <v>216</v>
      </c>
      <c r="M132">
        <v>1</v>
      </c>
      <c r="N132" t="s">
        <v>48</v>
      </c>
      <c r="O132" t="s">
        <v>56</v>
      </c>
      <c r="P132">
        <v>44</v>
      </c>
      <c r="Q132">
        <v>3.99</v>
      </c>
      <c r="R132">
        <v>55</v>
      </c>
      <c r="S132">
        <v>4</v>
      </c>
      <c r="AA132">
        <v>14</v>
      </c>
      <c r="AB132" t="s">
        <v>38</v>
      </c>
      <c r="AC132" t="s">
        <v>50</v>
      </c>
      <c r="AD132">
        <v>24</v>
      </c>
    </row>
    <row r="133" spans="1:30" x14ac:dyDescent="0.25">
      <c r="A133" t="s">
        <v>29</v>
      </c>
      <c r="B133" t="s">
        <v>30</v>
      </c>
      <c r="C133" t="s">
        <v>40</v>
      </c>
      <c r="D133">
        <v>86285</v>
      </c>
      <c r="E133" t="s">
        <v>51</v>
      </c>
      <c r="F133" t="s">
        <v>120</v>
      </c>
      <c r="G133">
        <v>-30.980243871279342</v>
      </c>
      <c r="H133">
        <v>-57.773327752947807</v>
      </c>
      <c r="I133" t="s">
        <v>53</v>
      </c>
      <c r="J133">
        <v>14200</v>
      </c>
      <c r="K133" s="4" t="str">
        <f t="shared" si="2"/>
        <v>14</v>
      </c>
      <c r="L133" t="s">
        <v>278</v>
      </c>
      <c r="N133" t="s">
        <v>186</v>
      </c>
      <c r="O133" t="s">
        <v>56</v>
      </c>
      <c r="P133">
        <v>595</v>
      </c>
      <c r="Q133">
        <v>4.93</v>
      </c>
      <c r="R133">
        <v>86285</v>
      </c>
      <c r="S133">
        <v>5</v>
      </c>
      <c r="AA133">
        <v>14</v>
      </c>
      <c r="AB133" t="s">
        <v>38</v>
      </c>
      <c r="AC133" t="s">
        <v>50</v>
      </c>
      <c r="AD133">
        <v>370</v>
      </c>
    </row>
    <row r="134" spans="1:30" x14ac:dyDescent="0.25">
      <c r="A134" t="s">
        <v>29</v>
      </c>
      <c r="B134" t="s">
        <v>30</v>
      </c>
      <c r="C134" t="s">
        <v>40</v>
      </c>
      <c r="D134">
        <v>28000</v>
      </c>
      <c r="E134" t="s">
        <v>51</v>
      </c>
      <c r="F134" t="s">
        <v>120</v>
      </c>
      <c r="G134">
        <v>-31.295696473563719</v>
      </c>
      <c r="H134">
        <v>-57.884034983566899</v>
      </c>
      <c r="I134" t="s">
        <v>160</v>
      </c>
      <c r="J134">
        <v>14800</v>
      </c>
      <c r="K134" s="4" t="str">
        <f t="shared" si="2"/>
        <v>14</v>
      </c>
      <c r="L134" t="s">
        <v>216</v>
      </c>
      <c r="N134" t="s">
        <v>48</v>
      </c>
      <c r="O134" t="s">
        <v>56</v>
      </c>
      <c r="P134">
        <v>18</v>
      </c>
      <c r="Q134">
        <v>1.55</v>
      </c>
      <c r="R134">
        <v>27950</v>
      </c>
      <c r="S134">
        <v>4.9000000000000004</v>
      </c>
      <c r="AA134">
        <v>14</v>
      </c>
      <c r="AB134" t="s">
        <v>57</v>
      </c>
      <c r="AC134" t="s">
        <v>50</v>
      </c>
      <c r="AD134">
        <v>10.5</v>
      </c>
    </row>
    <row r="135" spans="1:30" x14ac:dyDescent="0.25">
      <c r="A135" t="s">
        <v>29</v>
      </c>
      <c r="B135" t="s">
        <v>30</v>
      </c>
      <c r="C135" t="s">
        <v>40</v>
      </c>
      <c r="D135">
        <v>25450</v>
      </c>
      <c r="E135" t="s">
        <v>51</v>
      </c>
      <c r="F135" t="s">
        <v>120</v>
      </c>
      <c r="G135">
        <v>-31.290766154021362</v>
      </c>
      <c r="H135">
        <v>-57.889480695487407</v>
      </c>
      <c r="I135" t="s">
        <v>160</v>
      </c>
      <c r="J135">
        <v>14800</v>
      </c>
      <c r="K135" s="4" t="str">
        <f t="shared" si="2"/>
        <v>14</v>
      </c>
      <c r="L135" t="s">
        <v>216</v>
      </c>
      <c r="M135">
        <v>1</v>
      </c>
      <c r="N135" t="s">
        <v>48</v>
      </c>
      <c r="O135" t="s">
        <v>122</v>
      </c>
      <c r="P135">
        <v>18</v>
      </c>
      <c r="Q135">
        <v>2.17</v>
      </c>
      <c r="R135">
        <v>25450</v>
      </c>
      <c r="S135">
        <v>3.2</v>
      </c>
      <c r="AA135">
        <v>14</v>
      </c>
      <c r="AB135" t="s">
        <v>57</v>
      </c>
      <c r="AC135" t="s">
        <v>50</v>
      </c>
      <c r="AD135">
        <v>40</v>
      </c>
    </row>
    <row r="136" spans="1:30" x14ac:dyDescent="0.25">
      <c r="A136" t="s">
        <v>29</v>
      </c>
      <c r="B136" t="s">
        <v>30</v>
      </c>
      <c r="C136" t="s">
        <v>40</v>
      </c>
      <c r="D136">
        <v>71350</v>
      </c>
      <c r="E136" t="s">
        <v>51</v>
      </c>
      <c r="F136" t="s">
        <v>120</v>
      </c>
      <c r="G136">
        <v>-31.290943689700796</v>
      </c>
      <c r="H136">
        <v>-57.893526918387614</v>
      </c>
      <c r="I136" t="s">
        <v>53</v>
      </c>
      <c r="J136">
        <v>14800</v>
      </c>
      <c r="K136" s="4" t="str">
        <f t="shared" si="2"/>
        <v>14</v>
      </c>
      <c r="L136" t="s">
        <v>216</v>
      </c>
      <c r="N136" t="s">
        <v>48</v>
      </c>
      <c r="O136" t="s">
        <v>56</v>
      </c>
      <c r="P136">
        <v>47</v>
      </c>
      <c r="Q136">
        <v>4.43</v>
      </c>
      <c r="R136">
        <v>71300</v>
      </c>
      <c r="S136">
        <v>4.9000000000000004</v>
      </c>
      <c r="AA136">
        <v>14</v>
      </c>
      <c r="AB136" t="s">
        <v>57</v>
      </c>
      <c r="AC136" t="s">
        <v>50</v>
      </c>
      <c r="AD136">
        <v>40</v>
      </c>
    </row>
    <row r="137" spans="1:30" x14ac:dyDescent="0.25">
      <c r="A137" t="s">
        <v>29</v>
      </c>
      <c r="B137" t="s">
        <v>30</v>
      </c>
      <c r="C137" t="s">
        <v>40</v>
      </c>
      <c r="D137">
        <v>10700</v>
      </c>
      <c r="E137" t="s">
        <v>51</v>
      </c>
      <c r="F137" t="s">
        <v>120</v>
      </c>
      <c r="G137">
        <v>-31.293888211358208</v>
      </c>
      <c r="H137">
        <v>-57.884341674842993</v>
      </c>
      <c r="I137" t="s">
        <v>160</v>
      </c>
      <c r="J137">
        <v>14800</v>
      </c>
      <c r="K137" s="4" t="str">
        <f t="shared" si="2"/>
        <v>14</v>
      </c>
      <c r="L137" t="s">
        <v>216</v>
      </c>
      <c r="N137" t="s">
        <v>48</v>
      </c>
      <c r="O137" t="s">
        <v>56</v>
      </c>
      <c r="P137">
        <v>7.8</v>
      </c>
      <c r="Q137">
        <v>0.94</v>
      </c>
      <c r="R137">
        <v>10500</v>
      </c>
      <c r="S137">
        <v>4.0999999999999996</v>
      </c>
      <c r="AA137">
        <v>14</v>
      </c>
      <c r="AB137" t="s">
        <v>57</v>
      </c>
      <c r="AC137" t="s">
        <v>50</v>
      </c>
      <c r="AD137">
        <v>40</v>
      </c>
    </row>
    <row r="138" spans="1:30" x14ac:dyDescent="0.25">
      <c r="A138" t="s">
        <v>29</v>
      </c>
      <c r="B138" t="s">
        <v>30</v>
      </c>
      <c r="C138" t="s">
        <v>40</v>
      </c>
      <c r="D138">
        <v>1675610</v>
      </c>
      <c r="E138" t="s">
        <v>51</v>
      </c>
      <c r="F138" t="s">
        <v>99</v>
      </c>
      <c r="G138">
        <v>-31.370889999999999</v>
      </c>
      <c r="H138">
        <v>-57.646039999999999</v>
      </c>
      <c r="I138" t="s">
        <v>42</v>
      </c>
      <c r="J138">
        <v>14610</v>
      </c>
      <c r="K138" s="4" t="str">
        <f t="shared" si="2"/>
        <v>14</v>
      </c>
      <c r="L138" t="s">
        <v>346</v>
      </c>
      <c r="N138" t="s">
        <v>73</v>
      </c>
      <c r="O138" t="s">
        <v>347</v>
      </c>
      <c r="P138">
        <v>458</v>
      </c>
      <c r="Q138">
        <v>62.66</v>
      </c>
      <c r="R138">
        <v>1755000</v>
      </c>
      <c r="S138">
        <v>6.5</v>
      </c>
      <c r="AA138">
        <v>14</v>
      </c>
      <c r="AB138" t="s">
        <v>57</v>
      </c>
      <c r="AC138" t="s">
        <v>39</v>
      </c>
      <c r="AD138">
        <v>3500</v>
      </c>
    </row>
    <row r="139" spans="1:30" x14ac:dyDescent="0.25">
      <c r="A139" t="s">
        <v>29</v>
      </c>
      <c r="B139" t="s">
        <v>30</v>
      </c>
      <c r="C139" t="s">
        <v>40</v>
      </c>
      <c r="D139">
        <v>25997</v>
      </c>
      <c r="E139" t="s">
        <v>51</v>
      </c>
      <c r="F139" t="s">
        <v>120</v>
      </c>
      <c r="G139">
        <v>-31.404112285283674</v>
      </c>
      <c r="H139">
        <v>-57.926489096134908</v>
      </c>
      <c r="I139" t="s">
        <v>53</v>
      </c>
      <c r="J139">
        <v>14810</v>
      </c>
      <c r="K139" s="4" t="str">
        <f t="shared" si="2"/>
        <v>14</v>
      </c>
      <c r="L139" t="s">
        <v>358</v>
      </c>
      <c r="N139" t="s">
        <v>48</v>
      </c>
      <c r="O139" t="s">
        <v>56</v>
      </c>
      <c r="P139">
        <v>45.5</v>
      </c>
      <c r="Q139">
        <v>1.6</v>
      </c>
      <c r="R139">
        <v>26</v>
      </c>
      <c r="S139">
        <v>5.45</v>
      </c>
      <c r="AA139">
        <v>14</v>
      </c>
      <c r="AB139" t="s">
        <v>38</v>
      </c>
      <c r="AC139" t="s">
        <v>50</v>
      </c>
    </row>
    <row r="140" spans="1:30" x14ac:dyDescent="0.25">
      <c r="A140" t="s">
        <v>29</v>
      </c>
      <c r="B140" t="s">
        <v>30</v>
      </c>
      <c r="C140" t="s">
        <v>40</v>
      </c>
      <c r="D140">
        <v>4500</v>
      </c>
      <c r="E140" t="s">
        <v>51</v>
      </c>
      <c r="F140" t="s">
        <v>120</v>
      </c>
      <c r="G140">
        <v>-31.292516879493284</v>
      </c>
      <c r="H140">
        <v>-57.891428433358676</v>
      </c>
      <c r="I140" t="s">
        <v>46</v>
      </c>
      <c r="J140">
        <v>14800</v>
      </c>
      <c r="K140" s="4" t="str">
        <f t="shared" si="2"/>
        <v>14</v>
      </c>
      <c r="L140" t="s">
        <v>216</v>
      </c>
      <c r="M140">
        <v>3</v>
      </c>
      <c r="N140" t="s">
        <v>48</v>
      </c>
      <c r="O140" t="s">
        <v>56</v>
      </c>
      <c r="P140">
        <v>4</v>
      </c>
      <c r="Q140">
        <v>0.4</v>
      </c>
      <c r="R140">
        <v>4700</v>
      </c>
      <c r="S140">
        <v>3</v>
      </c>
      <c r="AA140">
        <v>14</v>
      </c>
      <c r="AB140" t="s">
        <v>57</v>
      </c>
      <c r="AC140" t="s">
        <v>50</v>
      </c>
    </row>
    <row r="141" spans="1:30" x14ac:dyDescent="0.25">
      <c r="A141" t="s">
        <v>29</v>
      </c>
      <c r="B141" t="s">
        <v>30</v>
      </c>
      <c r="C141" t="s">
        <v>40</v>
      </c>
      <c r="D141">
        <v>15310</v>
      </c>
      <c r="E141" t="s">
        <v>51</v>
      </c>
      <c r="F141" t="s">
        <v>120</v>
      </c>
      <c r="G141">
        <v>-31.317390331217801</v>
      </c>
      <c r="H141">
        <v>-57.893429363177837</v>
      </c>
      <c r="I141" t="s">
        <v>160</v>
      </c>
      <c r="J141">
        <v>14800</v>
      </c>
      <c r="K141" s="4" t="str">
        <f t="shared" si="2"/>
        <v>14</v>
      </c>
      <c r="L141" t="s">
        <v>216</v>
      </c>
      <c r="N141" t="s">
        <v>48</v>
      </c>
      <c r="O141" t="s">
        <v>56</v>
      </c>
      <c r="P141">
        <v>846</v>
      </c>
      <c r="Q141">
        <v>2.6</v>
      </c>
      <c r="R141">
        <v>15310</v>
      </c>
      <c r="S141">
        <v>2.5</v>
      </c>
      <c r="AA141">
        <v>14</v>
      </c>
      <c r="AB141" t="s">
        <v>57</v>
      </c>
      <c r="AC141" t="s">
        <v>50</v>
      </c>
    </row>
    <row r="142" spans="1:30" x14ac:dyDescent="0.25">
      <c r="A142" t="s">
        <v>29</v>
      </c>
      <c r="B142" t="s">
        <v>30</v>
      </c>
      <c r="C142" t="s">
        <v>40</v>
      </c>
      <c r="D142">
        <v>430000</v>
      </c>
      <c r="E142" t="s">
        <v>51</v>
      </c>
      <c r="F142" t="s">
        <v>120</v>
      </c>
      <c r="G142">
        <v>-31.096830000000001</v>
      </c>
      <c r="H142">
        <v>-57.747149999999998</v>
      </c>
      <c r="I142" t="s">
        <v>34</v>
      </c>
      <c r="J142">
        <v>14200</v>
      </c>
      <c r="K142" s="4" t="str">
        <f t="shared" si="2"/>
        <v>14</v>
      </c>
      <c r="L142" t="s">
        <v>360</v>
      </c>
      <c r="N142" t="s">
        <v>186</v>
      </c>
      <c r="O142" t="s">
        <v>56</v>
      </c>
      <c r="P142">
        <v>505</v>
      </c>
      <c r="Q142">
        <v>23.76</v>
      </c>
      <c r="R142">
        <v>430000</v>
      </c>
      <c r="S142">
        <v>5.5</v>
      </c>
      <c r="AA142">
        <v>14</v>
      </c>
      <c r="AB142" t="s">
        <v>57</v>
      </c>
      <c r="AC142" t="s">
        <v>39</v>
      </c>
      <c r="AD142">
        <v>230</v>
      </c>
    </row>
    <row r="143" spans="1:30" x14ac:dyDescent="0.25">
      <c r="A143" t="s">
        <v>29</v>
      </c>
      <c r="B143" t="s">
        <v>30</v>
      </c>
      <c r="C143" t="s">
        <v>40</v>
      </c>
      <c r="D143">
        <v>2771</v>
      </c>
      <c r="E143" t="s">
        <v>51</v>
      </c>
      <c r="F143" t="s">
        <v>184</v>
      </c>
      <c r="G143">
        <v>-31.321347043564494</v>
      </c>
      <c r="H143">
        <v>-57.845032073601033</v>
      </c>
      <c r="I143" t="s">
        <v>46</v>
      </c>
      <c r="J143">
        <v>14800</v>
      </c>
      <c r="K143" s="4" t="str">
        <f t="shared" si="2"/>
        <v>14</v>
      </c>
      <c r="L143" t="s">
        <v>379</v>
      </c>
      <c r="N143" t="s">
        <v>48</v>
      </c>
      <c r="O143" t="s">
        <v>56</v>
      </c>
      <c r="P143">
        <v>18</v>
      </c>
      <c r="Q143">
        <v>0.16600000000000001</v>
      </c>
      <c r="R143">
        <v>2770</v>
      </c>
      <c r="S143">
        <v>2.9</v>
      </c>
      <c r="AA143">
        <v>14</v>
      </c>
      <c r="AB143" t="s">
        <v>38</v>
      </c>
      <c r="AC143" t="s">
        <v>50</v>
      </c>
    </row>
    <row r="144" spans="1:30" x14ac:dyDescent="0.25">
      <c r="A144" t="s">
        <v>29</v>
      </c>
      <c r="B144" t="s">
        <v>30</v>
      </c>
      <c r="C144" t="s">
        <v>40</v>
      </c>
      <c r="D144">
        <v>2162600</v>
      </c>
      <c r="E144" t="s">
        <v>51</v>
      </c>
      <c r="F144" t="s">
        <v>58</v>
      </c>
      <c r="G144">
        <v>-31.511634141614145</v>
      </c>
      <c r="H144">
        <v>-57.297458472891314</v>
      </c>
      <c r="I144" t="s">
        <v>34</v>
      </c>
      <c r="J144">
        <v>15800</v>
      </c>
      <c r="K144" s="4" t="str">
        <f t="shared" si="2"/>
        <v>15</v>
      </c>
      <c r="L144" t="s">
        <v>109</v>
      </c>
      <c r="N144" t="s">
        <v>110</v>
      </c>
      <c r="O144" t="s">
        <v>111</v>
      </c>
      <c r="P144">
        <v>600</v>
      </c>
      <c r="Q144">
        <v>74.400000000000006</v>
      </c>
      <c r="R144">
        <v>2162600</v>
      </c>
      <c r="S144">
        <v>10</v>
      </c>
      <c r="AA144">
        <v>15</v>
      </c>
      <c r="AB144" t="s">
        <v>38</v>
      </c>
      <c r="AC144" t="s">
        <v>39</v>
      </c>
    </row>
    <row r="145" spans="1:30" x14ac:dyDescent="0.25">
      <c r="A145" t="s">
        <v>29</v>
      </c>
      <c r="B145" t="s">
        <v>30</v>
      </c>
      <c r="C145" t="s">
        <v>41</v>
      </c>
      <c r="D145">
        <v>1634900</v>
      </c>
      <c r="E145" t="s">
        <v>51</v>
      </c>
      <c r="F145" t="s">
        <v>120</v>
      </c>
      <c r="G145">
        <v>-31.83343</v>
      </c>
      <c r="H145">
        <v>-57.444609999999997</v>
      </c>
      <c r="I145" t="s">
        <v>42</v>
      </c>
      <c r="J145">
        <v>15500</v>
      </c>
      <c r="K145" s="4" t="str">
        <f t="shared" si="2"/>
        <v>15</v>
      </c>
      <c r="L145" t="s">
        <v>177</v>
      </c>
      <c r="N145" t="s">
        <v>179</v>
      </c>
      <c r="O145" t="s">
        <v>45</v>
      </c>
      <c r="P145">
        <v>493</v>
      </c>
      <c r="Q145">
        <v>73.02</v>
      </c>
      <c r="R145">
        <v>1634900</v>
      </c>
      <c r="S145">
        <v>7.7</v>
      </c>
      <c r="AA145">
        <v>15</v>
      </c>
      <c r="AB145" t="s">
        <v>38</v>
      </c>
      <c r="AC145" t="s">
        <v>39</v>
      </c>
      <c r="AD145">
        <v>272</v>
      </c>
    </row>
    <row r="146" spans="1:30" x14ac:dyDescent="0.25">
      <c r="A146" t="s">
        <v>29</v>
      </c>
      <c r="B146" t="s">
        <v>30</v>
      </c>
      <c r="C146" t="s">
        <v>41</v>
      </c>
      <c r="D146">
        <v>2795978</v>
      </c>
      <c r="E146" t="s">
        <v>51</v>
      </c>
      <c r="F146" t="s">
        <v>120</v>
      </c>
      <c r="G146">
        <v>-31.800370000000001</v>
      </c>
      <c r="H146">
        <v>-57.431699999999999</v>
      </c>
      <c r="I146" t="s">
        <v>85</v>
      </c>
      <c r="J146">
        <v>15500</v>
      </c>
      <c r="K146" s="4" t="str">
        <f t="shared" si="2"/>
        <v>15</v>
      </c>
      <c r="L146" t="s">
        <v>177</v>
      </c>
      <c r="M146">
        <v>10</v>
      </c>
      <c r="N146" t="s">
        <v>179</v>
      </c>
      <c r="O146" t="s">
        <v>56</v>
      </c>
      <c r="P146">
        <v>1953</v>
      </c>
      <c r="Q146">
        <v>131.59</v>
      </c>
      <c r="R146">
        <v>2795978</v>
      </c>
      <c r="S146">
        <v>9.86</v>
      </c>
      <c r="AA146">
        <v>15</v>
      </c>
      <c r="AB146" t="s">
        <v>38</v>
      </c>
      <c r="AC146" t="s">
        <v>39</v>
      </c>
      <c r="AD146">
        <v>436</v>
      </c>
    </row>
    <row r="147" spans="1:30" x14ac:dyDescent="0.25">
      <c r="A147" t="s">
        <v>29</v>
      </c>
      <c r="B147" t="s">
        <v>30</v>
      </c>
      <c r="C147" t="s">
        <v>41</v>
      </c>
      <c r="D147">
        <v>1661952</v>
      </c>
      <c r="E147" t="s">
        <v>51</v>
      </c>
      <c r="F147" t="s">
        <v>120</v>
      </c>
      <c r="G147">
        <v>-31.809329999999999</v>
      </c>
      <c r="H147">
        <v>-57.465600000000002</v>
      </c>
      <c r="I147" t="s">
        <v>34</v>
      </c>
      <c r="J147">
        <v>15500</v>
      </c>
      <c r="K147" s="4" t="str">
        <f t="shared" si="2"/>
        <v>15</v>
      </c>
      <c r="L147" t="s">
        <v>177</v>
      </c>
      <c r="M147">
        <v>4</v>
      </c>
      <c r="N147" t="s">
        <v>179</v>
      </c>
      <c r="O147" t="s">
        <v>180</v>
      </c>
      <c r="P147">
        <v>803</v>
      </c>
      <c r="Q147">
        <v>65.63</v>
      </c>
      <c r="R147">
        <v>1661952</v>
      </c>
      <c r="S147">
        <v>9</v>
      </c>
      <c r="AA147">
        <v>15</v>
      </c>
      <c r="AB147" t="s">
        <v>38</v>
      </c>
      <c r="AC147" t="s">
        <v>39</v>
      </c>
      <c r="AD147">
        <v>192</v>
      </c>
    </row>
    <row r="148" spans="1:30" x14ac:dyDescent="0.25">
      <c r="A148" t="s">
        <v>29</v>
      </c>
      <c r="B148" t="s">
        <v>30</v>
      </c>
      <c r="C148" t="s">
        <v>41</v>
      </c>
      <c r="D148">
        <v>1242535</v>
      </c>
      <c r="E148" t="s">
        <v>51</v>
      </c>
      <c r="F148" t="s">
        <v>120</v>
      </c>
      <c r="G148">
        <v>-31.834489999999999</v>
      </c>
      <c r="H148">
        <v>-57.460169999999998</v>
      </c>
      <c r="I148" t="s">
        <v>42</v>
      </c>
      <c r="J148">
        <v>15500</v>
      </c>
      <c r="K148" s="4" t="str">
        <f t="shared" si="2"/>
        <v>15</v>
      </c>
      <c r="L148" t="s">
        <v>177</v>
      </c>
      <c r="M148">
        <v>4</v>
      </c>
      <c r="N148" t="s">
        <v>179</v>
      </c>
      <c r="O148" t="s">
        <v>180</v>
      </c>
      <c r="P148">
        <v>281</v>
      </c>
      <c r="Q148">
        <v>43.99</v>
      </c>
      <c r="R148">
        <v>1242535</v>
      </c>
      <c r="S148">
        <v>6.2</v>
      </c>
      <c r="AA148">
        <v>15</v>
      </c>
      <c r="AB148" t="s">
        <v>38</v>
      </c>
      <c r="AC148" t="s">
        <v>39</v>
      </c>
      <c r="AD148">
        <v>174</v>
      </c>
    </row>
    <row r="149" spans="1:30" x14ac:dyDescent="0.25">
      <c r="A149" t="s">
        <v>29</v>
      </c>
      <c r="B149" t="s">
        <v>30</v>
      </c>
      <c r="C149" t="s">
        <v>41</v>
      </c>
      <c r="D149">
        <v>847371</v>
      </c>
      <c r="E149" t="s">
        <v>51</v>
      </c>
      <c r="F149" t="s">
        <v>120</v>
      </c>
      <c r="G149">
        <v>-31.835050071361174</v>
      </c>
      <c r="H149">
        <v>-57.446091807748019</v>
      </c>
      <c r="I149" t="s">
        <v>42</v>
      </c>
      <c r="J149">
        <v>15500</v>
      </c>
      <c r="K149" s="4" t="str">
        <f t="shared" si="2"/>
        <v>15</v>
      </c>
      <c r="L149" t="s">
        <v>177</v>
      </c>
      <c r="M149">
        <v>9</v>
      </c>
      <c r="N149" t="s">
        <v>179</v>
      </c>
      <c r="O149" t="s">
        <v>56</v>
      </c>
      <c r="P149">
        <v>214</v>
      </c>
      <c r="Q149">
        <v>43.08</v>
      </c>
      <c r="R149">
        <v>847371</v>
      </c>
      <c r="S149">
        <v>7.15</v>
      </c>
      <c r="AA149">
        <v>15</v>
      </c>
      <c r="AB149" t="s">
        <v>57</v>
      </c>
      <c r="AC149" t="s">
        <v>39</v>
      </c>
      <c r="AD149">
        <v>125</v>
      </c>
    </row>
    <row r="150" spans="1:30" x14ac:dyDescent="0.25">
      <c r="A150" t="s">
        <v>29</v>
      </c>
      <c r="B150" t="s">
        <v>30</v>
      </c>
      <c r="C150" t="s">
        <v>40</v>
      </c>
      <c r="D150">
        <v>3954500</v>
      </c>
      <c r="E150" t="s">
        <v>51</v>
      </c>
      <c r="F150" t="s">
        <v>58</v>
      </c>
      <c r="G150">
        <v>-31.578859999999999</v>
      </c>
      <c r="H150">
        <v>-57.304850000000002</v>
      </c>
      <c r="I150" t="s">
        <v>85</v>
      </c>
      <c r="J150">
        <v>15023</v>
      </c>
      <c r="K150" s="4" t="str">
        <f t="shared" si="2"/>
        <v>15</v>
      </c>
      <c r="L150" t="s">
        <v>218</v>
      </c>
      <c r="N150" t="s">
        <v>219</v>
      </c>
      <c r="O150" t="s">
        <v>220</v>
      </c>
      <c r="P150">
        <v>1625</v>
      </c>
      <c r="Q150">
        <v>150.19999999999999</v>
      </c>
      <c r="R150">
        <v>3954500</v>
      </c>
      <c r="S150">
        <v>8.5</v>
      </c>
      <c r="AA150">
        <v>15</v>
      </c>
      <c r="AB150" t="s">
        <v>57</v>
      </c>
      <c r="AC150" t="s">
        <v>39</v>
      </c>
      <c r="AD150">
        <v>258</v>
      </c>
    </row>
    <row r="151" spans="1:30" x14ac:dyDescent="0.25">
      <c r="A151" t="s">
        <v>29</v>
      </c>
      <c r="B151" t="s">
        <v>30</v>
      </c>
      <c r="C151" t="s">
        <v>41</v>
      </c>
      <c r="D151">
        <v>1980000</v>
      </c>
      <c r="E151" t="s">
        <v>51</v>
      </c>
      <c r="F151" t="s">
        <v>58</v>
      </c>
      <c r="G151">
        <v>-31.684476923493207</v>
      </c>
      <c r="H151">
        <v>-57.473164583639793</v>
      </c>
      <c r="I151" t="s">
        <v>160</v>
      </c>
      <c r="J151">
        <v>15024</v>
      </c>
      <c r="K151" s="4" t="str">
        <f t="shared" si="2"/>
        <v>15</v>
      </c>
      <c r="L151" t="s">
        <v>227</v>
      </c>
      <c r="N151" t="s">
        <v>219</v>
      </c>
      <c r="O151" t="s">
        <v>228</v>
      </c>
      <c r="P151">
        <v>796</v>
      </c>
      <c r="Q151">
        <v>92</v>
      </c>
      <c r="R151">
        <v>1980000</v>
      </c>
      <c r="S151">
        <v>7.25</v>
      </c>
      <c r="AA151">
        <v>15</v>
      </c>
      <c r="AB151" t="s">
        <v>57</v>
      </c>
      <c r="AC151" t="s">
        <v>39</v>
      </c>
    </row>
    <row r="152" spans="1:30" x14ac:dyDescent="0.25">
      <c r="A152" t="s">
        <v>29</v>
      </c>
      <c r="B152" t="s">
        <v>30</v>
      </c>
      <c r="C152" t="s">
        <v>41</v>
      </c>
      <c r="D152">
        <v>193990</v>
      </c>
      <c r="E152" t="s">
        <v>32</v>
      </c>
      <c r="F152" t="s">
        <v>33</v>
      </c>
      <c r="G152">
        <v>-31.537970000000001</v>
      </c>
      <c r="H152">
        <v>-57.801009999999998</v>
      </c>
      <c r="I152" t="s">
        <v>42</v>
      </c>
      <c r="J152">
        <v>15530</v>
      </c>
      <c r="K152" s="4" t="str">
        <f t="shared" si="2"/>
        <v>15</v>
      </c>
      <c r="L152" t="s">
        <v>259</v>
      </c>
      <c r="M152">
        <v>4</v>
      </c>
      <c r="N152" t="s">
        <v>179</v>
      </c>
      <c r="O152" t="s">
        <v>56</v>
      </c>
      <c r="P152">
        <v>60</v>
      </c>
      <c r="Q152">
        <v>15.4</v>
      </c>
      <c r="R152">
        <v>460000</v>
      </c>
      <c r="S152">
        <v>6.24</v>
      </c>
      <c r="AA152">
        <v>15</v>
      </c>
      <c r="AB152" t="s">
        <v>38</v>
      </c>
      <c r="AC152" t="s">
        <v>39</v>
      </c>
    </row>
    <row r="153" spans="1:30" x14ac:dyDescent="0.25">
      <c r="A153" t="s">
        <v>29</v>
      </c>
      <c r="B153" t="s">
        <v>30</v>
      </c>
      <c r="C153" t="s">
        <v>41</v>
      </c>
      <c r="D153">
        <v>931000</v>
      </c>
      <c r="E153" t="s">
        <v>32</v>
      </c>
      <c r="F153" t="s">
        <v>33</v>
      </c>
      <c r="G153">
        <v>-31.524380000000001</v>
      </c>
      <c r="H153">
        <v>-57.783949999999997</v>
      </c>
      <c r="I153" t="s">
        <v>34</v>
      </c>
      <c r="J153">
        <v>15530</v>
      </c>
      <c r="K153" s="4" t="str">
        <f t="shared" si="2"/>
        <v>15</v>
      </c>
      <c r="L153" t="s">
        <v>259</v>
      </c>
      <c r="M153">
        <v>4</v>
      </c>
      <c r="N153" t="s">
        <v>179</v>
      </c>
      <c r="O153" t="s">
        <v>56</v>
      </c>
      <c r="P153">
        <v>636</v>
      </c>
      <c r="Q153">
        <v>52.89</v>
      </c>
      <c r="R153">
        <v>931000</v>
      </c>
      <c r="S153">
        <v>7.2</v>
      </c>
      <c r="AA153">
        <v>15</v>
      </c>
      <c r="AB153" t="s">
        <v>38</v>
      </c>
      <c r="AC153" t="s">
        <v>39</v>
      </c>
    </row>
    <row r="154" spans="1:30" x14ac:dyDescent="0.25">
      <c r="A154" t="s">
        <v>29</v>
      </c>
      <c r="B154" t="s">
        <v>30</v>
      </c>
      <c r="C154" t="s">
        <v>41</v>
      </c>
      <c r="D154">
        <v>36000</v>
      </c>
      <c r="E154" t="s">
        <v>32</v>
      </c>
      <c r="F154" t="s">
        <v>33</v>
      </c>
      <c r="G154">
        <v>-31.541979999999999</v>
      </c>
      <c r="H154">
        <v>-57.8033</v>
      </c>
      <c r="I154" t="s">
        <v>160</v>
      </c>
      <c r="J154">
        <v>15530</v>
      </c>
      <c r="K154" s="4" t="str">
        <f t="shared" si="2"/>
        <v>15</v>
      </c>
      <c r="L154" t="s">
        <v>259</v>
      </c>
      <c r="N154" t="s">
        <v>179</v>
      </c>
      <c r="O154" t="s">
        <v>260</v>
      </c>
      <c r="P154">
        <v>20</v>
      </c>
      <c r="Q154">
        <v>2.7</v>
      </c>
      <c r="R154">
        <v>36000</v>
      </c>
      <c r="S154">
        <v>3.44</v>
      </c>
      <c r="AA154">
        <v>15</v>
      </c>
      <c r="AB154" t="s">
        <v>38</v>
      </c>
      <c r="AC154" t="s">
        <v>50</v>
      </c>
    </row>
    <row r="155" spans="1:30" x14ac:dyDescent="0.25">
      <c r="A155" t="s">
        <v>29</v>
      </c>
      <c r="B155" t="s">
        <v>30</v>
      </c>
      <c r="C155" t="s">
        <v>41</v>
      </c>
      <c r="D155">
        <v>58000</v>
      </c>
      <c r="E155" t="s">
        <v>32</v>
      </c>
      <c r="F155" t="s">
        <v>33</v>
      </c>
      <c r="G155">
        <v>-31.532540000000001</v>
      </c>
      <c r="H155">
        <v>-57.801749999999998</v>
      </c>
      <c r="I155" t="s">
        <v>53</v>
      </c>
      <c r="J155">
        <v>15530</v>
      </c>
      <c r="K155" s="4" t="str">
        <f t="shared" si="2"/>
        <v>15</v>
      </c>
      <c r="L155" t="s">
        <v>259</v>
      </c>
      <c r="N155" t="s">
        <v>179</v>
      </c>
      <c r="O155" t="s">
        <v>260</v>
      </c>
      <c r="P155">
        <v>70</v>
      </c>
      <c r="Q155">
        <v>5.17</v>
      </c>
      <c r="R155">
        <v>58000</v>
      </c>
      <c r="S155">
        <v>3.71</v>
      </c>
      <c r="AA155">
        <v>15</v>
      </c>
      <c r="AB155" t="s">
        <v>38</v>
      </c>
      <c r="AC155" t="s">
        <v>50</v>
      </c>
    </row>
    <row r="156" spans="1:30" x14ac:dyDescent="0.25">
      <c r="A156" t="s">
        <v>29</v>
      </c>
      <c r="B156" t="s">
        <v>30</v>
      </c>
      <c r="C156" t="s">
        <v>40</v>
      </c>
      <c r="D156">
        <v>246000</v>
      </c>
      <c r="E156" t="s">
        <v>67</v>
      </c>
      <c r="F156" t="s">
        <v>149</v>
      </c>
      <c r="G156">
        <v>-31.402725346165266</v>
      </c>
      <c r="H156">
        <v>-57.905255730554892</v>
      </c>
      <c r="I156" t="s">
        <v>42</v>
      </c>
      <c r="J156">
        <v>15830</v>
      </c>
      <c r="K156" s="4" t="str">
        <f t="shared" si="2"/>
        <v>15</v>
      </c>
      <c r="L156" t="s">
        <v>314</v>
      </c>
      <c r="N156" t="s">
        <v>110</v>
      </c>
      <c r="O156" t="s">
        <v>56</v>
      </c>
      <c r="P156">
        <v>77</v>
      </c>
      <c r="Q156">
        <v>10.7</v>
      </c>
      <c r="R156">
        <v>246000</v>
      </c>
      <c r="S156">
        <v>6.2</v>
      </c>
      <c r="AA156">
        <v>15</v>
      </c>
      <c r="AB156" t="s">
        <v>57</v>
      </c>
      <c r="AC156" t="s">
        <v>39</v>
      </c>
    </row>
    <row r="157" spans="1:30" x14ac:dyDescent="0.25">
      <c r="A157" t="s">
        <v>29</v>
      </c>
      <c r="B157" t="s">
        <v>30</v>
      </c>
      <c r="C157" t="s">
        <v>40</v>
      </c>
      <c r="D157">
        <v>251000</v>
      </c>
      <c r="E157" t="s">
        <v>315</v>
      </c>
      <c r="F157" t="s">
        <v>149</v>
      </c>
      <c r="G157">
        <v>-31.417352664649606</v>
      </c>
      <c r="H157">
        <v>-57.892966234539927</v>
      </c>
      <c r="I157" t="s">
        <v>42</v>
      </c>
      <c r="J157">
        <v>15830</v>
      </c>
      <c r="K157" s="4" t="str">
        <f t="shared" si="2"/>
        <v>15</v>
      </c>
      <c r="L157" t="s">
        <v>314</v>
      </c>
      <c r="N157" t="s">
        <v>110</v>
      </c>
      <c r="O157" t="s">
        <v>316</v>
      </c>
      <c r="P157">
        <v>36</v>
      </c>
      <c r="Q157">
        <v>8.1</v>
      </c>
      <c r="R157">
        <v>251000</v>
      </c>
      <c r="S157">
        <v>8.1999999999999993</v>
      </c>
      <c r="AA157">
        <v>15</v>
      </c>
      <c r="AB157" t="s">
        <v>57</v>
      </c>
      <c r="AC157" t="s">
        <v>39</v>
      </c>
    </row>
    <row r="158" spans="1:30" x14ac:dyDescent="0.25">
      <c r="A158" t="s">
        <v>29</v>
      </c>
      <c r="B158" t="s">
        <v>30</v>
      </c>
      <c r="C158" t="s">
        <v>40</v>
      </c>
      <c r="D158">
        <v>315660</v>
      </c>
      <c r="E158" t="s">
        <v>51</v>
      </c>
      <c r="F158" t="s">
        <v>58</v>
      </c>
      <c r="G158">
        <v>-31.507478487157677</v>
      </c>
      <c r="H158">
        <v>-57.291222098283463</v>
      </c>
      <c r="I158" t="s">
        <v>42</v>
      </c>
      <c r="J158">
        <v>15810</v>
      </c>
      <c r="K158" s="4" t="str">
        <f t="shared" si="2"/>
        <v>15</v>
      </c>
      <c r="L158" t="s">
        <v>109</v>
      </c>
      <c r="M158">
        <v>3</v>
      </c>
      <c r="N158" t="s">
        <v>110</v>
      </c>
      <c r="O158" t="s">
        <v>318</v>
      </c>
      <c r="P158">
        <v>83</v>
      </c>
      <c r="Q158">
        <v>21.2</v>
      </c>
      <c r="R158">
        <v>517627</v>
      </c>
      <c r="S158">
        <v>7</v>
      </c>
      <c r="AA158">
        <v>15</v>
      </c>
      <c r="AB158" t="s">
        <v>38</v>
      </c>
      <c r="AC158" t="s">
        <v>39</v>
      </c>
      <c r="AD158">
        <v>25</v>
      </c>
    </row>
    <row r="159" spans="1:30" x14ac:dyDescent="0.25">
      <c r="A159" t="s">
        <v>29</v>
      </c>
      <c r="B159" t="s">
        <v>30</v>
      </c>
      <c r="C159" t="s">
        <v>41</v>
      </c>
      <c r="D159">
        <v>1899165</v>
      </c>
      <c r="E159" t="s">
        <v>51</v>
      </c>
      <c r="F159" t="s">
        <v>58</v>
      </c>
      <c r="G159">
        <v>-31.65643452649525</v>
      </c>
      <c r="H159">
        <v>-57.534593242214548</v>
      </c>
      <c r="I159" t="s">
        <v>42</v>
      </c>
      <c r="J159">
        <v>15500</v>
      </c>
      <c r="K159" s="4" t="str">
        <f t="shared" si="2"/>
        <v>15</v>
      </c>
      <c r="L159" t="s">
        <v>349</v>
      </c>
      <c r="M159">
        <v>10</v>
      </c>
      <c r="N159" t="s">
        <v>219</v>
      </c>
      <c r="O159" t="s">
        <v>56</v>
      </c>
      <c r="P159">
        <v>208</v>
      </c>
      <c r="Q159">
        <v>50.26</v>
      </c>
      <c r="R159">
        <v>539200</v>
      </c>
      <c r="S159">
        <v>9.7799999999999994</v>
      </c>
      <c r="AA159">
        <v>15</v>
      </c>
      <c r="AB159" t="s">
        <v>57</v>
      </c>
      <c r="AC159" t="s">
        <v>39</v>
      </c>
    </row>
    <row r="160" spans="1:30" x14ac:dyDescent="0.25">
      <c r="A160" t="s">
        <v>29</v>
      </c>
      <c r="B160" t="s">
        <v>30</v>
      </c>
      <c r="C160" t="s">
        <v>41</v>
      </c>
      <c r="D160">
        <v>1899165</v>
      </c>
      <c r="E160" t="s">
        <v>51</v>
      </c>
      <c r="F160" t="s">
        <v>58</v>
      </c>
      <c r="G160">
        <v>-31.65643452649525</v>
      </c>
      <c r="H160">
        <v>-57.534593242214548</v>
      </c>
      <c r="I160" t="s">
        <v>42</v>
      </c>
      <c r="J160">
        <v>15501</v>
      </c>
      <c r="K160" s="4" t="str">
        <f t="shared" ref="K160:K161" si="3">LEFT(J160,2)</f>
        <v>15</v>
      </c>
      <c r="L160" t="s">
        <v>349</v>
      </c>
      <c r="M160">
        <v>11</v>
      </c>
      <c r="N160" t="s">
        <v>219</v>
      </c>
      <c r="O160" t="s">
        <v>56</v>
      </c>
      <c r="P160">
        <v>208</v>
      </c>
      <c r="Q160">
        <v>50.26</v>
      </c>
      <c r="R160">
        <v>539200</v>
      </c>
      <c r="S160">
        <v>9.7799999999999994</v>
      </c>
      <c r="AA160">
        <v>15</v>
      </c>
      <c r="AB160" t="s">
        <v>57</v>
      </c>
      <c r="AC160" t="s">
        <v>39</v>
      </c>
    </row>
    <row r="161" spans="1:30" x14ac:dyDescent="0.25">
      <c r="A161" t="s">
        <v>29</v>
      </c>
      <c r="B161" t="s">
        <v>30</v>
      </c>
      <c r="C161" t="s">
        <v>41</v>
      </c>
      <c r="D161">
        <v>1899165</v>
      </c>
      <c r="E161" t="s">
        <v>51</v>
      </c>
      <c r="F161" t="s">
        <v>58</v>
      </c>
      <c r="G161">
        <v>-31.65643452649525</v>
      </c>
      <c r="H161">
        <v>-57.534593242214548</v>
      </c>
      <c r="I161" t="s">
        <v>42</v>
      </c>
      <c r="J161">
        <v>15502</v>
      </c>
      <c r="K161" s="4" t="str">
        <f t="shared" si="3"/>
        <v>15</v>
      </c>
      <c r="L161" t="s">
        <v>349</v>
      </c>
      <c r="M161">
        <v>12</v>
      </c>
      <c r="N161" t="s">
        <v>219</v>
      </c>
      <c r="O161" t="s">
        <v>56</v>
      </c>
      <c r="P161">
        <v>208</v>
      </c>
      <c r="Q161">
        <v>50.26</v>
      </c>
      <c r="R161">
        <v>539200</v>
      </c>
      <c r="S161">
        <v>9.7799999999999994</v>
      </c>
      <c r="AA161">
        <v>15</v>
      </c>
      <c r="AB161" t="s">
        <v>57</v>
      </c>
      <c r="AC161" t="s">
        <v>39</v>
      </c>
    </row>
    <row r="162" spans="1:30" x14ac:dyDescent="0.25">
      <c r="A162" t="s">
        <v>29</v>
      </c>
      <c r="B162" t="s">
        <v>30</v>
      </c>
      <c r="C162" t="s">
        <v>41</v>
      </c>
      <c r="D162">
        <v>21700</v>
      </c>
      <c r="E162" t="s">
        <v>67</v>
      </c>
      <c r="F162" t="s">
        <v>242</v>
      </c>
      <c r="G162">
        <v>-31.692433020995857</v>
      </c>
      <c r="H162">
        <v>-57.70157799124717</v>
      </c>
      <c r="I162" t="s">
        <v>53</v>
      </c>
      <c r="J162">
        <v>15530</v>
      </c>
      <c r="K162" s="4" t="str">
        <f t="shared" si="2"/>
        <v>15</v>
      </c>
      <c r="L162" t="s">
        <v>243</v>
      </c>
      <c r="N162" t="s">
        <v>179</v>
      </c>
      <c r="O162" t="s">
        <v>56</v>
      </c>
      <c r="P162">
        <v>320</v>
      </c>
      <c r="Q162">
        <v>2.2999999999999998</v>
      </c>
      <c r="R162">
        <v>21700</v>
      </c>
      <c r="S162">
        <v>4.3</v>
      </c>
      <c r="AA162">
        <v>15</v>
      </c>
      <c r="AB162" t="s">
        <v>38</v>
      </c>
      <c r="AC162" t="s">
        <v>50</v>
      </c>
    </row>
    <row r="163" spans="1:30" x14ac:dyDescent="0.25">
      <c r="A163" t="s">
        <v>29</v>
      </c>
      <c r="B163" t="s">
        <v>30</v>
      </c>
      <c r="C163" t="s">
        <v>40</v>
      </c>
      <c r="D163">
        <v>133338</v>
      </c>
      <c r="E163" t="s">
        <v>51</v>
      </c>
      <c r="F163" t="s">
        <v>120</v>
      </c>
      <c r="G163">
        <v>-31.422982973263323</v>
      </c>
      <c r="H163">
        <v>-57.879422833226151</v>
      </c>
      <c r="I163" t="s">
        <v>42</v>
      </c>
      <c r="J163">
        <v>15830</v>
      </c>
      <c r="K163" s="4" t="str">
        <f t="shared" si="2"/>
        <v>15</v>
      </c>
      <c r="L163" t="s">
        <v>360</v>
      </c>
      <c r="N163" t="s">
        <v>110</v>
      </c>
      <c r="O163" t="s">
        <v>56</v>
      </c>
      <c r="P163">
        <v>240</v>
      </c>
      <c r="Q163">
        <v>9.93</v>
      </c>
      <c r="R163">
        <v>133338</v>
      </c>
      <c r="S163">
        <v>4.42</v>
      </c>
      <c r="AA163">
        <v>15</v>
      </c>
      <c r="AB163" t="s">
        <v>57</v>
      </c>
      <c r="AC163" t="s">
        <v>39</v>
      </c>
    </row>
    <row r="164" spans="1:30" x14ac:dyDescent="0.25">
      <c r="A164" t="s">
        <v>29</v>
      </c>
      <c r="B164" t="s">
        <v>30</v>
      </c>
      <c r="C164" t="s">
        <v>40</v>
      </c>
      <c r="D164">
        <v>699000</v>
      </c>
      <c r="E164" t="s">
        <v>51</v>
      </c>
      <c r="F164" t="s">
        <v>99</v>
      </c>
      <c r="G164">
        <v>-31.428282007508169</v>
      </c>
      <c r="H164">
        <v>-57.830119745877667</v>
      </c>
      <c r="I164" t="s">
        <v>85</v>
      </c>
      <c r="J164">
        <v>15830</v>
      </c>
      <c r="K164" s="4" t="str">
        <f t="shared" si="2"/>
        <v>15</v>
      </c>
      <c r="L164" t="s">
        <v>365</v>
      </c>
      <c r="N164" t="s">
        <v>110</v>
      </c>
      <c r="O164" t="s">
        <v>56</v>
      </c>
      <c r="P164">
        <v>1400</v>
      </c>
      <c r="Q164">
        <v>42.18</v>
      </c>
      <c r="R164">
        <v>699000</v>
      </c>
      <c r="S164">
        <v>8</v>
      </c>
      <c r="AA164">
        <v>15</v>
      </c>
      <c r="AB164" t="s">
        <v>57</v>
      </c>
      <c r="AC164" t="s">
        <v>39</v>
      </c>
      <c r="AD164">
        <v>132</v>
      </c>
    </row>
    <row r="165" spans="1:30" x14ac:dyDescent="0.25">
      <c r="A165" t="s">
        <v>29</v>
      </c>
      <c r="B165" t="s">
        <v>30</v>
      </c>
      <c r="C165" t="s">
        <v>41</v>
      </c>
      <c r="D165">
        <v>397093</v>
      </c>
      <c r="E165" t="s">
        <v>32</v>
      </c>
      <c r="F165" t="s">
        <v>33</v>
      </c>
      <c r="G165">
        <v>-31.625209999999999</v>
      </c>
      <c r="H165">
        <v>-57.860869999999998</v>
      </c>
      <c r="I165" t="s">
        <v>42</v>
      </c>
      <c r="J165">
        <v>16300</v>
      </c>
      <c r="K165" s="4" t="str">
        <f t="shared" si="2"/>
        <v>16</v>
      </c>
      <c r="L165" t="s">
        <v>43</v>
      </c>
      <c r="N165" t="s">
        <v>44</v>
      </c>
      <c r="O165" t="s">
        <v>45</v>
      </c>
      <c r="P165">
        <v>275</v>
      </c>
      <c r="Q165">
        <v>19</v>
      </c>
      <c r="R165">
        <v>397093</v>
      </c>
      <c r="S165">
        <v>9</v>
      </c>
      <c r="AA165">
        <v>16</v>
      </c>
      <c r="AB165" t="s">
        <v>38</v>
      </c>
      <c r="AC165" t="s">
        <v>39</v>
      </c>
      <c r="AD165">
        <v>137</v>
      </c>
    </row>
    <row r="166" spans="1:30" x14ac:dyDescent="0.25">
      <c r="A166" t="s">
        <v>29</v>
      </c>
      <c r="B166" t="s">
        <v>30</v>
      </c>
      <c r="C166" t="s">
        <v>41</v>
      </c>
      <c r="D166">
        <v>66600</v>
      </c>
      <c r="E166" t="s">
        <v>51</v>
      </c>
      <c r="F166" t="s">
        <v>120</v>
      </c>
      <c r="G166">
        <v>-31.536877277463674</v>
      </c>
      <c r="H166">
        <v>-57.916683111445792</v>
      </c>
      <c r="I166" t="s">
        <v>160</v>
      </c>
      <c r="J166">
        <v>16000</v>
      </c>
      <c r="K166" s="4" t="str">
        <f t="shared" si="2"/>
        <v>16</v>
      </c>
      <c r="L166" t="s">
        <v>161</v>
      </c>
      <c r="M166">
        <v>4</v>
      </c>
      <c r="N166" t="s">
        <v>162</v>
      </c>
      <c r="O166" t="s">
        <v>163</v>
      </c>
      <c r="P166">
        <v>30</v>
      </c>
      <c r="Q166">
        <v>2.9</v>
      </c>
      <c r="R166">
        <v>66600</v>
      </c>
      <c r="S166">
        <v>4.2</v>
      </c>
      <c r="AA166">
        <v>16</v>
      </c>
      <c r="AB166" t="s">
        <v>38</v>
      </c>
      <c r="AC166" t="s">
        <v>154</v>
      </c>
    </row>
    <row r="167" spans="1:30" x14ac:dyDescent="0.25">
      <c r="A167" t="s">
        <v>29</v>
      </c>
      <c r="B167" t="s">
        <v>30</v>
      </c>
      <c r="C167" t="s">
        <v>41</v>
      </c>
      <c r="D167">
        <v>10800</v>
      </c>
      <c r="E167" t="s">
        <v>51</v>
      </c>
      <c r="F167" t="s">
        <v>120</v>
      </c>
      <c r="G167">
        <v>-31.660295674179356</v>
      </c>
      <c r="H167">
        <v>-57.867827094791977</v>
      </c>
      <c r="I167" t="s">
        <v>160</v>
      </c>
      <c r="J167">
        <v>16500</v>
      </c>
      <c r="K167" s="4" t="str">
        <f t="shared" si="2"/>
        <v>16</v>
      </c>
      <c r="L167" t="s">
        <v>161</v>
      </c>
      <c r="M167">
        <v>4</v>
      </c>
      <c r="N167" t="s">
        <v>164</v>
      </c>
      <c r="O167" t="s">
        <v>165</v>
      </c>
      <c r="P167">
        <v>32</v>
      </c>
      <c r="Q167">
        <v>1.24</v>
      </c>
      <c r="R167">
        <v>10800</v>
      </c>
      <c r="S167">
        <v>4</v>
      </c>
      <c r="AA167">
        <v>16</v>
      </c>
      <c r="AB167" t="s">
        <v>38</v>
      </c>
      <c r="AC167" t="s">
        <v>154</v>
      </c>
    </row>
    <row r="168" spans="1:30" x14ac:dyDescent="0.25">
      <c r="A168" t="s">
        <v>29</v>
      </c>
      <c r="B168" t="s">
        <v>30</v>
      </c>
      <c r="C168" t="s">
        <v>41</v>
      </c>
      <c r="D168">
        <v>45000</v>
      </c>
      <c r="E168" t="s">
        <v>51</v>
      </c>
      <c r="F168" t="s">
        <v>120</v>
      </c>
      <c r="G168">
        <v>-31.686070000000001</v>
      </c>
      <c r="H168">
        <v>-57.901899999999998</v>
      </c>
      <c r="I168" t="s">
        <v>53</v>
      </c>
      <c r="J168">
        <v>16500</v>
      </c>
      <c r="K168" s="4" t="str">
        <f t="shared" si="2"/>
        <v>16</v>
      </c>
      <c r="L168" t="s">
        <v>166</v>
      </c>
      <c r="N168" t="s">
        <v>164</v>
      </c>
      <c r="O168" t="s">
        <v>167</v>
      </c>
      <c r="P168">
        <v>17</v>
      </c>
      <c r="Q168">
        <v>2.4900000000000002</v>
      </c>
      <c r="R168">
        <v>45000</v>
      </c>
      <c r="S168">
        <v>5.4</v>
      </c>
      <c r="AA168">
        <v>16</v>
      </c>
      <c r="AB168" t="s">
        <v>38</v>
      </c>
      <c r="AC168" t="s">
        <v>50</v>
      </c>
      <c r="AD168">
        <v>29.1</v>
      </c>
    </row>
    <row r="169" spans="1:30" x14ac:dyDescent="0.25">
      <c r="A169" t="s">
        <v>29</v>
      </c>
      <c r="B169" t="s">
        <v>30</v>
      </c>
      <c r="C169" t="s">
        <v>41</v>
      </c>
      <c r="D169">
        <v>482125</v>
      </c>
      <c r="E169" t="s">
        <v>51</v>
      </c>
      <c r="F169" t="s">
        <v>120</v>
      </c>
      <c r="G169">
        <v>-32.055289999999999</v>
      </c>
      <c r="H169">
        <v>-58.121839999999999</v>
      </c>
      <c r="I169" t="s">
        <v>42</v>
      </c>
      <c r="J169">
        <v>16830</v>
      </c>
      <c r="K169" s="4" t="str">
        <f t="shared" si="2"/>
        <v>16</v>
      </c>
      <c r="L169" t="s">
        <v>188</v>
      </c>
      <c r="N169" t="s">
        <v>195</v>
      </c>
      <c r="O169" t="s">
        <v>56</v>
      </c>
      <c r="P169">
        <v>271</v>
      </c>
      <c r="Q169">
        <v>21.18</v>
      </c>
      <c r="R169">
        <v>482125</v>
      </c>
      <c r="S169">
        <v>6.39</v>
      </c>
      <c r="AA169">
        <v>16</v>
      </c>
      <c r="AB169" t="s">
        <v>38</v>
      </c>
      <c r="AC169" t="s">
        <v>39</v>
      </c>
      <c r="AD169">
        <v>146</v>
      </c>
    </row>
    <row r="170" spans="1:30" x14ac:dyDescent="0.25">
      <c r="A170" t="s">
        <v>29</v>
      </c>
      <c r="B170" t="s">
        <v>30</v>
      </c>
      <c r="C170" t="s">
        <v>41</v>
      </c>
      <c r="D170">
        <v>1990000</v>
      </c>
      <c r="E170" t="s">
        <v>51</v>
      </c>
      <c r="F170" t="s">
        <v>99</v>
      </c>
      <c r="G170">
        <v>-31.599489999999999</v>
      </c>
      <c r="H170">
        <v>-57.913339999999998</v>
      </c>
      <c r="I170" t="s">
        <v>34</v>
      </c>
      <c r="J170">
        <v>16300</v>
      </c>
      <c r="K170" s="4" t="str">
        <f t="shared" si="2"/>
        <v>16</v>
      </c>
      <c r="L170" t="s">
        <v>245</v>
      </c>
      <c r="M170">
        <v>4</v>
      </c>
      <c r="N170" t="s">
        <v>44</v>
      </c>
      <c r="O170" t="s">
        <v>56</v>
      </c>
      <c r="P170">
        <v>574</v>
      </c>
      <c r="Q170">
        <v>57</v>
      </c>
      <c r="R170">
        <v>1990000</v>
      </c>
      <c r="S170">
        <v>10.33</v>
      </c>
      <c r="AA170">
        <v>16</v>
      </c>
      <c r="AB170" t="s">
        <v>38</v>
      </c>
      <c r="AC170" t="s">
        <v>39</v>
      </c>
      <c r="AD170">
        <v>390</v>
      </c>
    </row>
    <row r="171" spans="1:30" x14ac:dyDescent="0.25">
      <c r="A171" t="s">
        <v>29</v>
      </c>
      <c r="B171" t="s">
        <v>30</v>
      </c>
      <c r="C171" t="s">
        <v>41</v>
      </c>
      <c r="D171">
        <v>505488</v>
      </c>
      <c r="E171" t="s">
        <v>51</v>
      </c>
      <c r="F171" t="s">
        <v>120</v>
      </c>
      <c r="G171">
        <v>-31.660820000000001</v>
      </c>
      <c r="H171">
        <v>-57.828380000000003</v>
      </c>
      <c r="I171" t="s">
        <v>42</v>
      </c>
      <c r="J171">
        <v>16500</v>
      </c>
      <c r="K171" s="4" t="str">
        <f t="shared" si="2"/>
        <v>16</v>
      </c>
      <c r="L171" t="s">
        <v>161</v>
      </c>
      <c r="N171" t="s">
        <v>164</v>
      </c>
      <c r="O171" t="s">
        <v>56</v>
      </c>
      <c r="P171">
        <v>135</v>
      </c>
      <c r="Q171">
        <v>16.91</v>
      </c>
      <c r="R171">
        <v>422000</v>
      </c>
      <c r="S171">
        <v>7.7</v>
      </c>
      <c r="AA171">
        <v>16</v>
      </c>
      <c r="AB171" t="s">
        <v>38</v>
      </c>
      <c r="AC171" t="s">
        <v>39</v>
      </c>
    </row>
    <row r="172" spans="1:30" x14ac:dyDescent="0.25">
      <c r="A172" t="s">
        <v>29</v>
      </c>
      <c r="B172" t="s">
        <v>30</v>
      </c>
      <c r="C172" t="s">
        <v>41</v>
      </c>
      <c r="D172">
        <v>194453</v>
      </c>
      <c r="E172" t="s">
        <v>67</v>
      </c>
      <c r="F172" t="s">
        <v>149</v>
      </c>
      <c r="G172">
        <v>-31.969548504411105</v>
      </c>
      <c r="H172">
        <v>-58.127494029717667</v>
      </c>
      <c r="I172" t="s">
        <v>42</v>
      </c>
      <c r="J172">
        <v>16830</v>
      </c>
      <c r="K172" s="4" t="str">
        <f t="shared" si="2"/>
        <v>16</v>
      </c>
      <c r="L172" t="s">
        <v>295</v>
      </c>
      <c r="N172" t="s">
        <v>195</v>
      </c>
      <c r="O172" t="s">
        <v>296</v>
      </c>
      <c r="P172">
        <v>487</v>
      </c>
      <c r="Q172">
        <v>12.64</v>
      </c>
      <c r="R172">
        <v>194453</v>
      </c>
      <c r="S172">
        <v>5.9</v>
      </c>
      <c r="AA172">
        <v>16</v>
      </c>
      <c r="AB172" t="s">
        <v>57</v>
      </c>
      <c r="AC172" t="s">
        <v>39</v>
      </c>
    </row>
    <row r="173" spans="1:30" x14ac:dyDescent="0.25">
      <c r="A173" t="s">
        <v>29</v>
      </c>
      <c r="B173" t="s">
        <v>30</v>
      </c>
      <c r="C173" t="s">
        <v>41</v>
      </c>
      <c r="D173">
        <v>23000</v>
      </c>
      <c r="E173" t="s">
        <v>32</v>
      </c>
      <c r="F173" t="s">
        <v>33</v>
      </c>
      <c r="G173">
        <v>-31.542183774100067</v>
      </c>
      <c r="H173">
        <v>-57.925614402135885</v>
      </c>
      <c r="I173" t="s">
        <v>53</v>
      </c>
      <c r="J173">
        <v>16000</v>
      </c>
      <c r="K173" s="4" t="str">
        <f t="shared" si="2"/>
        <v>16</v>
      </c>
      <c r="L173" t="s">
        <v>161</v>
      </c>
      <c r="N173" t="s">
        <v>162</v>
      </c>
      <c r="O173" t="s">
        <v>376</v>
      </c>
      <c r="P173">
        <v>118</v>
      </c>
      <c r="Q173">
        <v>1.86</v>
      </c>
      <c r="R173">
        <v>23000</v>
      </c>
      <c r="S173">
        <v>3.5</v>
      </c>
      <c r="AA173">
        <v>16</v>
      </c>
      <c r="AB173" t="s">
        <v>57</v>
      </c>
      <c r="AC173" t="s">
        <v>50</v>
      </c>
    </row>
    <row r="174" spans="1:30" x14ac:dyDescent="0.25">
      <c r="A174" t="s">
        <v>29</v>
      </c>
      <c r="B174" t="s">
        <v>30</v>
      </c>
      <c r="C174" t="s">
        <v>41</v>
      </c>
      <c r="D174">
        <v>95000</v>
      </c>
      <c r="E174" t="s">
        <v>32</v>
      </c>
      <c r="F174" t="s">
        <v>33</v>
      </c>
      <c r="G174">
        <v>-31.547195215525079</v>
      </c>
      <c r="H174">
        <v>-57.918642662107416</v>
      </c>
      <c r="I174" t="s">
        <v>53</v>
      </c>
      <c r="J174">
        <v>16000</v>
      </c>
      <c r="K174" s="4" t="str">
        <f t="shared" si="2"/>
        <v>16</v>
      </c>
      <c r="L174" t="s">
        <v>161</v>
      </c>
      <c r="N174" t="s">
        <v>162</v>
      </c>
      <c r="O174" t="s">
        <v>377</v>
      </c>
      <c r="P174">
        <v>238</v>
      </c>
      <c r="Q174">
        <v>6.42</v>
      </c>
      <c r="R174">
        <v>95000</v>
      </c>
      <c r="S174">
        <v>3.8</v>
      </c>
      <c r="AA174">
        <v>16</v>
      </c>
      <c r="AB174" t="s">
        <v>57</v>
      </c>
      <c r="AC174" t="s">
        <v>50</v>
      </c>
    </row>
    <row r="175" spans="1:30" x14ac:dyDescent="0.25">
      <c r="A175" t="s">
        <v>29</v>
      </c>
      <c r="B175" t="s">
        <v>30</v>
      </c>
      <c r="C175" t="s">
        <v>41</v>
      </c>
      <c r="D175">
        <v>11000</v>
      </c>
      <c r="E175" t="s">
        <v>32</v>
      </c>
      <c r="F175" t="s">
        <v>33</v>
      </c>
      <c r="G175">
        <v>-31.661861991770618</v>
      </c>
      <c r="H175">
        <v>-57.8657535721862</v>
      </c>
      <c r="I175" t="s">
        <v>53</v>
      </c>
      <c r="J175">
        <v>16500</v>
      </c>
      <c r="K175" s="4" t="str">
        <f t="shared" si="2"/>
        <v>16</v>
      </c>
      <c r="L175" t="s">
        <v>161</v>
      </c>
      <c r="N175" t="s">
        <v>164</v>
      </c>
      <c r="O175" t="s">
        <v>378</v>
      </c>
      <c r="P175">
        <v>54</v>
      </c>
      <c r="Q175">
        <v>0.83</v>
      </c>
      <c r="R175">
        <v>7000</v>
      </c>
      <c r="S175">
        <v>3.6</v>
      </c>
      <c r="AA175">
        <v>16</v>
      </c>
      <c r="AB175" t="s">
        <v>57</v>
      </c>
      <c r="AC175" t="s">
        <v>50</v>
      </c>
    </row>
    <row r="176" spans="1:30" x14ac:dyDescent="0.25">
      <c r="A176" t="s">
        <v>29</v>
      </c>
      <c r="B176" t="s">
        <v>30</v>
      </c>
      <c r="C176" t="s">
        <v>41</v>
      </c>
      <c r="D176">
        <v>542920</v>
      </c>
      <c r="E176" t="s">
        <v>51</v>
      </c>
      <c r="F176" t="s">
        <v>120</v>
      </c>
      <c r="G176">
        <v>-31.959589999999999</v>
      </c>
      <c r="H176">
        <v>-57.88588</v>
      </c>
      <c r="I176" t="s">
        <v>34</v>
      </c>
      <c r="J176">
        <v>17902</v>
      </c>
      <c r="K176" s="4" t="str">
        <f t="shared" si="2"/>
        <v>17</v>
      </c>
      <c r="L176" t="s">
        <v>132</v>
      </c>
      <c r="M176">
        <v>11</v>
      </c>
      <c r="N176" t="s">
        <v>133</v>
      </c>
      <c r="O176" t="s">
        <v>56</v>
      </c>
      <c r="P176">
        <v>738</v>
      </c>
      <c r="Q176">
        <v>27.55</v>
      </c>
      <c r="R176">
        <v>542920</v>
      </c>
      <c r="S176">
        <v>5.3</v>
      </c>
      <c r="AA176">
        <v>17</v>
      </c>
      <c r="AB176" t="s">
        <v>38</v>
      </c>
      <c r="AC176" t="s">
        <v>39</v>
      </c>
      <c r="AD176">
        <v>175</v>
      </c>
    </row>
    <row r="177" spans="1:30" x14ac:dyDescent="0.25">
      <c r="A177" t="s">
        <v>29</v>
      </c>
      <c r="B177" t="s">
        <v>30</v>
      </c>
      <c r="C177" t="s">
        <v>41</v>
      </c>
      <c r="D177">
        <v>122865</v>
      </c>
      <c r="E177" t="s">
        <v>51</v>
      </c>
      <c r="F177" t="s">
        <v>120</v>
      </c>
      <c r="G177">
        <v>-31.952867175609217</v>
      </c>
      <c r="H177">
        <v>-57.880046048716487</v>
      </c>
      <c r="I177" t="s">
        <v>34</v>
      </c>
      <c r="J177">
        <v>17902</v>
      </c>
      <c r="K177" s="4" t="str">
        <f t="shared" si="2"/>
        <v>17</v>
      </c>
      <c r="L177" t="s">
        <v>132</v>
      </c>
      <c r="N177" t="s">
        <v>133</v>
      </c>
      <c r="O177" t="s">
        <v>56</v>
      </c>
      <c r="P177">
        <v>600</v>
      </c>
      <c r="Q177">
        <v>12.3</v>
      </c>
      <c r="R177">
        <v>122865</v>
      </c>
      <c r="S177">
        <v>5.36</v>
      </c>
      <c r="AA177">
        <v>17</v>
      </c>
      <c r="AB177" t="s">
        <v>38</v>
      </c>
      <c r="AC177" t="s">
        <v>39</v>
      </c>
      <c r="AD177">
        <v>288</v>
      </c>
    </row>
    <row r="178" spans="1:30" x14ac:dyDescent="0.25">
      <c r="A178" t="s">
        <v>29</v>
      </c>
      <c r="B178" t="s">
        <v>30</v>
      </c>
      <c r="C178" t="s">
        <v>41</v>
      </c>
      <c r="D178">
        <v>772211</v>
      </c>
      <c r="E178" t="s">
        <v>51</v>
      </c>
      <c r="F178" t="s">
        <v>120</v>
      </c>
      <c r="G178">
        <v>-31.92998</v>
      </c>
      <c r="H178">
        <v>-57.510469999999998</v>
      </c>
      <c r="I178" t="s">
        <v>42</v>
      </c>
      <c r="J178">
        <v>17801</v>
      </c>
      <c r="K178" s="4" t="str">
        <f t="shared" si="2"/>
        <v>17</v>
      </c>
      <c r="L178" t="s">
        <v>177</v>
      </c>
      <c r="N178" t="s">
        <v>178</v>
      </c>
      <c r="O178" t="s">
        <v>167</v>
      </c>
      <c r="P178">
        <v>266</v>
      </c>
      <c r="Q178">
        <v>29.9</v>
      </c>
      <c r="R178">
        <v>772211</v>
      </c>
      <c r="S178">
        <v>6</v>
      </c>
      <c r="AA178">
        <v>17</v>
      </c>
      <c r="AB178" t="s">
        <v>38</v>
      </c>
      <c r="AC178" t="s">
        <v>39</v>
      </c>
      <c r="AD178">
        <v>164</v>
      </c>
    </row>
    <row r="179" spans="1:30" x14ac:dyDescent="0.25">
      <c r="A179" t="s">
        <v>29</v>
      </c>
      <c r="B179" t="s">
        <v>30</v>
      </c>
      <c r="C179" t="s">
        <v>41</v>
      </c>
      <c r="D179">
        <v>160800</v>
      </c>
      <c r="E179" t="s">
        <v>32</v>
      </c>
      <c r="F179" t="s">
        <v>33</v>
      </c>
      <c r="G179">
        <v>-32.282719999999998</v>
      </c>
      <c r="H179">
        <v>-56.632919999999999</v>
      </c>
      <c r="I179" t="s">
        <v>42</v>
      </c>
      <c r="J179">
        <v>17040</v>
      </c>
      <c r="K179" s="4" t="str">
        <f t="shared" si="2"/>
        <v>17</v>
      </c>
      <c r="L179" t="s">
        <v>192</v>
      </c>
      <c r="N179" t="s">
        <v>193</v>
      </c>
      <c r="O179" t="s">
        <v>56</v>
      </c>
      <c r="P179">
        <v>159</v>
      </c>
      <c r="Q179">
        <v>9.1999999999999993</v>
      </c>
      <c r="R179">
        <v>160800</v>
      </c>
      <c r="S179">
        <v>7.7</v>
      </c>
      <c r="AA179">
        <v>17</v>
      </c>
      <c r="AB179" t="s">
        <v>38</v>
      </c>
      <c r="AC179" t="s">
        <v>39</v>
      </c>
    </row>
    <row r="180" spans="1:30" x14ac:dyDescent="0.25">
      <c r="A180" t="s">
        <v>29</v>
      </c>
      <c r="B180" t="s">
        <v>30</v>
      </c>
      <c r="C180" t="s">
        <v>41</v>
      </c>
      <c r="D180">
        <v>1008538</v>
      </c>
      <c r="E180" t="s">
        <v>51</v>
      </c>
      <c r="F180" t="s">
        <v>97</v>
      </c>
      <c r="G180">
        <v>-32.045200000000001</v>
      </c>
      <c r="H180">
        <v>-57.876820000000002</v>
      </c>
      <c r="I180" t="s">
        <v>34</v>
      </c>
      <c r="J180">
        <v>17830</v>
      </c>
      <c r="K180" s="4" t="str">
        <f t="shared" si="2"/>
        <v>17</v>
      </c>
      <c r="L180" t="s">
        <v>194</v>
      </c>
      <c r="N180" t="s">
        <v>178</v>
      </c>
      <c r="O180" t="s">
        <v>56</v>
      </c>
      <c r="P180">
        <v>710</v>
      </c>
      <c r="Q180">
        <v>42.35</v>
      </c>
      <c r="R180">
        <v>1008538</v>
      </c>
      <c r="S180">
        <v>9.6999999999999993</v>
      </c>
      <c r="AA180">
        <v>17</v>
      </c>
      <c r="AB180" t="s">
        <v>38</v>
      </c>
      <c r="AC180" t="s">
        <v>39</v>
      </c>
      <c r="AD180">
        <v>423</v>
      </c>
    </row>
    <row r="181" spans="1:30" x14ac:dyDescent="0.25">
      <c r="A181" t="s">
        <v>29</v>
      </c>
      <c r="B181" t="s">
        <v>30</v>
      </c>
      <c r="C181" t="s">
        <v>41</v>
      </c>
      <c r="D181">
        <v>536336</v>
      </c>
      <c r="E181" t="s">
        <v>32</v>
      </c>
      <c r="F181" t="s">
        <v>33</v>
      </c>
      <c r="G181">
        <v>-31.984449999999999</v>
      </c>
      <c r="H181">
        <v>-57.826790000000003</v>
      </c>
      <c r="I181" t="s">
        <v>42</v>
      </c>
      <c r="J181">
        <v>17902</v>
      </c>
      <c r="K181" s="4" t="str">
        <f t="shared" si="2"/>
        <v>17</v>
      </c>
      <c r="L181" t="s">
        <v>202</v>
      </c>
      <c r="N181" t="s">
        <v>133</v>
      </c>
      <c r="O181" t="s">
        <v>56</v>
      </c>
      <c r="P181">
        <v>426</v>
      </c>
      <c r="Q181">
        <v>27.18</v>
      </c>
      <c r="R181">
        <v>536336</v>
      </c>
      <c r="S181">
        <v>5.65</v>
      </c>
      <c r="AA181">
        <v>17</v>
      </c>
      <c r="AB181" t="s">
        <v>38</v>
      </c>
      <c r="AC181" t="s">
        <v>39</v>
      </c>
    </row>
    <row r="182" spans="1:30" x14ac:dyDescent="0.25">
      <c r="A182" t="s">
        <v>29</v>
      </c>
      <c r="B182" t="s">
        <v>30</v>
      </c>
      <c r="C182" t="s">
        <v>41</v>
      </c>
      <c r="D182">
        <v>61417</v>
      </c>
      <c r="E182" t="s">
        <v>32</v>
      </c>
      <c r="F182" t="s">
        <v>33</v>
      </c>
      <c r="G182">
        <v>-32.222610000000003</v>
      </c>
      <c r="H182">
        <v>-57.871549999999999</v>
      </c>
      <c r="I182" t="s">
        <v>53</v>
      </c>
      <c r="J182">
        <v>17710</v>
      </c>
      <c r="K182" s="4" t="str">
        <f t="shared" si="2"/>
        <v>17</v>
      </c>
      <c r="L182" t="s">
        <v>203</v>
      </c>
      <c r="N182" t="s">
        <v>204</v>
      </c>
      <c r="O182" t="s">
        <v>56</v>
      </c>
      <c r="P182">
        <v>188.5</v>
      </c>
      <c r="Q182">
        <v>8.2200000000000006</v>
      </c>
      <c r="R182">
        <v>61417</v>
      </c>
      <c r="S182">
        <v>3.28</v>
      </c>
      <c r="AA182">
        <v>17</v>
      </c>
      <c r="AB182" t="s">
        <v>38</v>
      </c>
      <c r="AC182" t="s">
        <v>50</v>
      </c>
    </row>
    <row r="183" spans="1:30" x14ac:dyDescent="0.25">
      <c r="A183" t="s">
        <v>29</v>
      </c>
      <c r="B183" t="s">
        <v>30</v>
      </c>
      <c r="C183" t="s">
        <v>41</v>
      </c>
      <c r="D183">
        <v>859417</v>
      </c>
      <c r="E183" t="s">
        <v>51</v>
      </c>
      <c r="F183" t="s">
        <v>120</v>
      </c>
      <c r="G183">
        <v>-31.91995</v>
      </c>
      <c r="H183">
        <v>-57.50217</v>
      </c>
      <c r="I183" t="s">
        <v>42</v>
      </c>
      <c r="J183">
        <v>17801</v>
      </c>
      <c r="K183" s="4" t="str">
        <f t="shared" si="2"/>
        <v>17</v>
      </c>
      <c r="L183" t="s">
        <v>177</v>
      </c>
      <c r="M183">
        <v>10</v>
      </c>
      <c r="N183" t="s">
        <v>178</v>
      </c>
      <c r="O183" t="s">
        <v>208</v>
      </c>
      <c r="P183">
        <v>246</v>
      </c>
      <c r="Q183">
        <v>45.13</v>
      </c>
      <c r="R183">
        <v>859417</v>
      </c>
      <c r="S183">
        <v>5.3</v>
      </c>
      <c r="AA183">
        <v>17</v>
      </c>
      <c r="AB183" t="s">
        <v>57</v>
      </c>
      <c r="AC183" t="s">
        <v>39</v>
      </c>
      <c r="AD183">
        <v>142</v>
      </c>
    </row>
    <row r="184" spans="1:30" x14ac:dyDescent="0.25">
      <c r="A184" t="s">
        <v>29</v>
      </c>
      <c r="B184" t="s">
        <v>30</v>
      </c>
      <c r="C184" t="s">
        <v>41</v>
      </c>
      <c r="D184">
        <v>4006500</v>
      </c>
      <c r="E184" t="s">
        <v>32</v>
      </c>
      <c r="F184" t="s">
        <v>33</v>
      </c>
      <c r="G184">
        <v>-31.920839999999998</v>
      </c>
      <c r="H184">
        <v>-56.554009999999998</v>
      </c>
      <c r="I184" t="s">
        <v>85</v>
      </c>
      <c r="J184">
        <v>17101</v>
      </c>
      <c r="K184" s="4" t="str">
        <f t="shared" si="2"/>
        <v>17</v>
      </c>
      <c r="L184" t="s">
        <v>225</v>
      </c>
      <c r="M184">
        <v>7</v>
      </c>
      <c r="N184" t="s">
        <v>226</v>
      </c>
      <c r="O184" t="s">
        <v>56</v>
      </c>
      <c r="P184">
        <v>2020</v>
      </c>
      <c r="Q184">
        <v>120.8</v>
      </c>
      <c r="R184">
        <v>4006500</v>
      </c>
      <c r="S184">
        <v>17.399999999999999</v>
      </c>
      <c r="AA184">
        <v>17</v>
      </c>
      <c r="AB184" t="s">
        <v>57</v>
      </c>
      <c r="AC184" t="s">
        <v>39</v>
      </c>
      <c r="AD184">
        <v>0</v>
      </c>
    </row>
    <row r="185" spans="1:30" x14ac:dyDescent="0.25">
      <c r="A185" t="s">
        <v>29</v>
      </c>
      <c r="B185" t="s">
        <v>30</v>
      </c>
      <c r="C185" t="s">
        <v>41</v>
      </c>
      <c r="D185">
        <v>1672485</v>
      </c>
      <c r="E185" t="s">
        <v>51</v>
      </c>
      <c r="F185" t="s">
        <v>120</v>
      </c>
      <c r="G185">
        <v>-31.920523842265979</v>
      </c>
      <c r="H185">
        <v>-57.460298753460371</v>
      </c>
      <c r="I185" t="s">
        <v>85</v>
      </c>
      <c r="J185">
        <v>17505</v>
      </c>
      <c r="K185" s="4" t="str">
        <f t="shared" si="2"/>
        <v>17</v>
      </c>
      <c r="L185" t="s">
        <v>232</v>
      </c>
      <c r="N185" t="s">
        <v>233</v>
      </c>
      <c r="O185" t="s">
        <v>234</v>
      </c>
      <c r="P185">
        <v>1763</v>
      </c>
      <c r="Q185">
        <v>113.71</v>
      </c>
      <c r="R185">
        <v>1672485</v>
      </c>
      <c r="S185">
        <v>8</v>
      </c>
      <c r="AA185">
        <v>17</v>
      </c>
      <c r="AB185" t="s">
        <v>57</v>
      </c>
      <c r="AC185" t="s">
        <v>39</v>
      </c>
      <c r="AD185">
        <v>377</v>
      </c>
    </row>
    <row r="186" spans="1:30" x14ac:dyDescent="0.25">
      <c r="A186" t="s">
        <v>29</v>
      </c>
      <c r="B186" t="s">
        <v>30</v>
      </c>
      <c r="C186" t="s">
        <v>41</v>
      </c>
      <c r="D186">
        <v>150000</v>
      </c>
      <c r="E186" t="s">
        <v>67</v>
      </c>
      <c r="F186" t="s">
        <v>242</v>
      </c>
      <c r="G186">
        <v>-32.322310000000002</v>
      </c>
      <c r="H186">
        <v>-57.666400000000003</v>
      </c>
      <c r="I186" t="s">
        <v>42</v>
      </c>
      <c r="J186">
        <v>17700</v>
      </c>
      <c r="K186" s="4" t="str">
        <f t="shared" si="2"/>
        <v>17</v>
      </c>
      <c r="L186" t="s">
        <v>243</v>
      </c>
      <c r="N186" t="s">
        <v>204</v>
      </c>
      <c r="O186" t="s">
        <v>244</v>
      </c>
      <c r="P186">
        <v>890</v>
      </c>
      <c r="Q186">
        <v>13.1</v>
      </c>
      <c r="R186">
        <v>150000</v>
      </c>
      <c r="S186">
        <v>4</v>
      </c>
      <c r="AA186">
        <v>17</v>
      </c>
      <c r="AB186" t="s">
        <v>38</v>
      </c>
      <c r="AC186" t="s">
        <v>39</v>
      </c>
    </row>
    <row r="187" spans="1:30" x14ac:dyDescent="0.25">
      <c r="A187" t="s">
        <v>29</v>
      </c>
      <c r="B187" t="s">
        <v>30</v>
      </c>
      <c r="C187" t="s">
        <v>41</v>
      </c>
      <c r="D187">
        <v>1140090</v>
      </c>
      <c r="E187" t="s">
        <v>51</v>
      </c>
      <c r="F187" t="s">
        <v>99</v>
      </c>
      <c r="G187">
        <v>-32.014949999999999</v>
      </c>
      <c r="H187">
        <v>-57.883020000000002</v>
      </c>
      <c r="I187" t="s">
        <v>42</v>
      </c>
      <c r="J187">
        <v>17902</v>
      </c>
      <c r="K187" s="4" t="str">
        <f t="shared" si="2"/>
        <v>17</v>
      </c>
      <c r="L187" t="s">
        <v>258</v>
      </c>
      <c r="N187" t="s">
        <v>133</v>
      </c>
      <c r="O187" t="s">
        <v>56</v>
      </c>
      <c r="P187">
        <v>209</v>
      </c>
      <c r="Q187">
        <v>35.1</v>
      </c>
      <c r="R187">
        <v>1140000</v>
      </c>
      <c r="S187">
        <v>9.4</v>
      </c>
      <c r="AA187">
        <v>17</v>
      </c>
      <c r="AB187" t="s">
        <v>38</v>
      </c>
      <c r="AC187" t="s">
        <v>39</v>
      </c>
    </row>
    <row r="188" spans="1:30" x14ac:dyDescent="0.25">
      <c r="A188" t="s">
        <v>29</v>
      </c>
      <c r="B188" t="s">
        <v>30</v>
      </c>
      <c r="C188" t="s">
        <v>41</v>
      </c>
      <c r="D188">
        <v>697000</v>
      </c>
      <c r="E188" t="s">
        <v>51</v>
      </c>
      <c r="F188" t="s">
        <v>120</v>
      </c>
      <c r="G188">
        <v>-32.067985346964328</v>
      </c>
      <c r="H188">
        <v>-57.817184887826429</v>
      </c>
      <c r="I188" t="s">
        <v>42</v>
      </c>
      <c r="J188">
        <v>17810</v>
      </c>
      <c r="K188" s="4" t="str">
        <f t="shared" si="2"/>
        <v>17</v>
      </c>
      <c r="L188" t="s">
        <v>277</v>
      </c>
      <c r="M188">
        <v>4</v>
      </c>
      <c r="N188" t="s">
        <v>178</v>
      </c>
      <c r="O188" t="s">
        <v>56</v>
      </c>
      <c r="P188">
        <v>160</v>
      </c>
      <c r="Q188">
        <v>19.399999999999999</v>
      </c>
      <c r="R188">
        <v>697000</v>
      </c>
      <c r="S188">
        <v>11</v>
      </c>
      <c r="AA188">
        <v>17</v>
      </c>
      <c r="AB188" t="s">
        <v>38</v>
      </c>
      <c r="AC188" t="s">
        <v>39</v>
      </c>
      <c r="AD188">
        <v>542</v>
      </c>
    </row>
    <row r="189" spans="1:30" x14ac:dyDescent="0.25">
      <c r="A189" t="s">
        <v>29</v>
      </c>
      <c r="B189" t="s">
        <v>30</v>
      </c>
      <c r="C189" t="s">
        <v>41</v>
      </c>
      <c r="D189">
        <v>171950</v>
      </c>
      <c r="E189" t="s">
        <v>32</v>
      </c>
      <c r="F189" t="s">
        <v>33</v>
      </c>
      <c r="G189">
        <v>-32.204329999999999</v>
      </c>
      <c r="H189">
        <v>-57.865360000000003</v>
      </c>
      <c r="I189" t="s">
        <v>42</v>
      </c>
      <c r="J189">
        <v>17710</v>
      </c>
      <c r="K189" s="4" t="str">
        <f t="shared" si="2"/>
        <v>17</v>
      </c>
      <c r="L189" t="s">
        <v>309</v>
      </c>
      <c r="M189">
        <v>2</v>
      </c>
      <c r="N189" t="s">
        <v>204</v>
      </c>
      <c r="O189" t="s">
        <v>56</v>
      </c>
      <c r="P189">
        <v>462</v>
      </c>
      <c r="Q189">
        <v>11.19</v>
      </c>
      <c r="R189">
        <v>171950</v>
      </c>
      <c r="S189">
        <v>6.5</v>
      </c>
      <c r="AA189">
        <v>17</v>
      </c>
      <c r="AB189" t="s">
        <v>57</v>
      </c>
      <c r="AC189" t="s">
        <v>39</v>
      </c>
      <c r="AD189">
        <v>100</v>
      </c>
    </row>
    <row r="190" spans="1:30" x14ac:dyDescent="0.25">
      <c r="A190" t="s">
        <v>29</v>
      </c>
      <c r="B190" t="s">
        <v>30</v>
      </c>
      <c r="C190" t="s">
        <v>41</v>
      </c>
      <c r="D190">
        <v>1100</v>
      </c>
      <c r="E190" t="s">
        <v>32</v>
      </c>
      <c r="F190" t="s">
        <v>33</v>
      </c>
      <c r="G190">
        <v>-31.921125625430811</v>
      </c>
      <c r="H190">
        <v>-57.290356279117987</v>
      </c>
      <c r="I190" t="s">
        <v>46</v>
      </c>
      <c r="J190">
        <v>17430</v>
      </c>
      <c r="K190" s="4" t="str">
        <f t="shared" si="2"/>
        <v>17</v>
      </c>
      <c r="L190" t="s">
        <v>333</v>
      </c>
      <c r="M190">
        <v>10</v>
      </c>
      <c r="N190" t="s">
        <v>334</v>
      </c>
      <c r="O190" t="s">
        <v>335</v>
      </c>
      <c r="P190">
        <v>510</v>
      </c>
      <c r="Q190">
        <v>0.15</v>
      </c>
      <c r="R190">
        <v>1100</v>
      </c>
      <c r="S190">
        <v>2.8</v>
      </c>
      <c r="AA190">
        <v>17</v>
      </c>
      <c r="AB190" t="s">
        <v>38</v>
      </c>
      <c r="AC190" t="s">
        <v>50</v>
      </c>
    </row>
    <row r="191" spans="1:30" x14ac:dyDescent="0.25">
      <c r="A191" t="s">
        <v>29</v>
      </c>
      <c r="B191" t="s">
        <v>30</v>
      </c>
      <c r="C191" t="s">
        <v>41</v>
      </c>
      <c r="D191">
        <v>1600</v>
      </c>
      <c r="E191" t="s">
        <v>32</v>
      </c>
      <c r="F191" t="s">
        <v>33</v>
      </c>
      <c r="G191">
        <v>-31.921131089179497</v>
      </c>
      <c r="H191">
        <v>-57.288911372597795</v>
      </c>
      <c r="I191" t="s">
        <v>46</v>
      </c>
      <c r="J191">
        <v>17430</v>
      </c>
      <c r="K191" s="4" t="str">
        <f t="shared" si="2"/>
        <v>17</v>
      </c>
      <c r="L191" t="s">
        <v>333</v>
      </c>
      <c r="M191">
        <v>10</v>
      </c>
      <c r="N191" t="s">
        <v>334</v>
      </c>
      <c r="O191" t="s">
        <v>56</v>
      </c>
      <c r="P191">
        <v>499</v>
      </c>
      <c r="Q191">
        <v>0.31</v>
      </c>
      <c r="R191">
        <v>1600</v>
      </c>
      <c r="S191">
        <v>2.2999999999999998</v>
      </c>
      <c r="AA191">
        <v>17</v>
      </c>
      <c r="AB191" t="s">
        <v>38</v>
      </c>
      <c r="AC191" t="s">
        <v>50</v>
      </c>
    </row>
    <row r="192" spans="1:30" x14ac:dyDescent="0.25">
      <c r="A192" t="s">
        <v>29</v>
      </c>
      <c r="B192" t="s">
        <v>30</v>
      </c>
      <c r="C192" t="s">
        <v>41</v>
      </c>
      <c r="D192">
        <v>1000</v>
      </c>
      <c r="E192" t="s">
        <v>32</v>
      </c>
      <c r="F192" t="s">
        <v>33</v>
      </c>
      <c r="G192">
        <v>-31.920142130374906</v>
      </c>
      <c r="H192">
        <v>-57.289347768528387</v>
      </c>
      <c r="I192" t="s">
        <v>46</v>
      </c>
      <c r="J192">
        <v>17430</v>
      </c>
      <c r="K192" s="4" t="str">
        <f t="shared" si="2"/>
        <v>17</v>
      </c>
      <c r="L192" t="s">
        <v>333</v>
      </c>
      <c r="M192">
        <v>10</v>
      </c>
      <c r="N192" t="s">
        <v>334</v>
      </c>
      <c r="O192" t="s">
        <v>56</v>
      </c>
      <c r="P192">
        <v>486</v>
      </c>
      <c r="Q192">
        <v>0.17</v>
      </c>
      <c r="R192">
        <v>1000</v>
      </c>
      <c r="S192">
        <v>2.27</v>
      </c>
      <c r="AA192">
        <v>17</v>
      </c>
      <c r="AB192" t="s">
        <v>38</v>
      </c>
      <c r="AC192" t="s">
        <v>50</v>
      </c>
    </row>
    <row r="193" spans="1:30" x14ac:dyDescent="0.25">
      <c r="A193" t="s">
        <v>29</v>
      </c>
      <c r="B193" t="s">
        <v>30</v>
      </c>
      <c r="C193" t="s">
        <v>41</v>
      </c>
      <c r="D193">
        <v>251518</v>
      </c>
      <c r="E193" t="s">
        <v>32</v>
      </c>
      <c r="F193" t="s">
        <v>33</v>
      </c>
      <c r="G193">
        <v>-32.331714527787383</v>
      </c>
      <c r="H193">
        <v>-57.091977137577949</v>
      </c>
      <c r="I193" t="s">
        <v>85</v>
      </c>
      <c r="J193">
        <v>17120</v>
      </c>
      <c r="K193" s="4" t="str">
        <f t="shared" si="2"/>
        <v>17</v>
      </c>
      <c r="L193" t="s">
        <v>338</v>
      </c>
      <c r="N193" t="s">
        <v>226</v>
      </c>
      <c r="O193" t="s">
        <v>339</v>
      </c>
      <c r="P193">
        <v>1500</v>
      </c>
      <c r="Q193">
        <v>10.65</v>
      </c>
      <c r="R193">
        <v>251518</v>
      </c>
      <c r="S193">
        <v>6</v>
      </c>
      <c r="AA193">
        <v>17</v>
      </c>
      <c r="AB193" t="s">
        <v>57</v>
      </c>
      <c r="AC193" t="s">
        <v>39</v>
      </c>
    </row>
    <row r="194" spans="1:30" x14ac:dyDescent="0.25">
      <c r="A194" t="s">
        <v>29</v>
      </c>
      <c r="B194" t="s">
        <v>30</v>
      </c>
      <c r="C194" t="s">
        <v>41</v>
      </c>
      <c r="D194">
        <v>268173</v>
      </c>
      <c r="E194" t="s">
        <v>51</v>
      </c>
      <c r="F194" t="s">
        <v>149</v>
      </c>
      <c r="G194">
        <v>-32.012016420965978</v>
      </c>
      <c r="H194">
        <v>-57.895726204616935</v>
      </c>
      <c r="I194" t="s">
        <v>42</v>
      </c>
      <c r="J194">
        <v>17902</v>
      </c>
      <c r="K194" s="4" t="str">
        <f t="shared" si="2"/>
        <v>17</v>
      </c>
      <c r="L194" t="s">
        <v>258</v>
      </c>
      <c r="N194" t="s">
        <v>133</v>
      </c>
      <c r="O194" t="s">
        <v>56</v>
      </c>
      <c r="P194">
        <v>77.3</v>
      </c>
      <c r="Q194">
        <v>7.15</v>
      </c>
      <c r="R194">
        <v>268170</v>
      </c>
      <c r="S194">
        <v>10.4</v>
      </c>
      <c r="AA194">
        <v>17</v>
      </c>
      <c r="AB194" t="s">
        <v>38</v>
      </c>
      <c r="AC194" t="s">
        <v>39</v>
      </c>
      <c r="AD194">
        <v>370</v>
      </c>
    </row>
    <row r="195" spans="1:30" x14ac:dyDescent="0.25">
      <c r="A195" t="s">
        <v>29</v>
      </c>
      <c r="B195" t="s">
        <v>30</v>
      </c>
      <c r="C195" t="s">
        <v>41</v>
      </c>
      <c r="D195">
        <v>286265</v>
      </c>
      <c r="E195" t="s">
        <v>51</v>
      </c>
      <c r="F195" t="s">
        <v>99</v>
      </c>
      <c r="G195">
        <v>-32.070763228689771</v>
      </c>
      <c r="H195">
        <v>-57.813667862615759</v>
      </c>
      <c r="I195" t="s">
        <v>42</v>
      </c>
      <c r="J195">
        <v>17810</v>
      </c>
      <c r="K195" s="4" t="str">
        <f t="shared" si="2"/>
        <v>17</v>
      </c>
      <c r="L195" t="s">
        <v>351</v>
      </c>
      <c r="N195" t="s">
        <v>178</v>
      </c>
      <c r="O195" t="s">
        <v>56</v>
      </c>
      <c r="P195">
        <v>304</v>
      </c>
      <c r="Q195">
        <v>110</v>
      </c>
      <c r="R195">
        <v>286625</v>
      </c>
      <c r="S195">
        <v>5</v>
      </c>
      <c r="AA195">
        <v>17</v>
      </c>
      <c r="AB195" t="s">
        <v>38</v>
      </c>
      <c r="AC195" t="s">
        <v>39</v>
      </c>
    </row>
    <row r="196" spans="1:30" x14ac:dyDescent="0.25">
      <c r="A196" t="s">
        <v>29</v>
      </c>
      <c r="B196" t="s">
        <v>30</v>
      </c>
      <c r="C196" t="s">
        <v>41</v>
      </c>
      <c r="D196">
        <v>470000</v>
      </c>
      <c r="E196" t="s">
        <v>51</v>
      </c>
      <c r="F196" t="s">
        <v>149</v>
      </c>
      <c r="G196">
        <v>-32.255020000000002</v>
      </c>
      <c r="H196">
        <v>-57.211539999999999</v>
      </c>
      <c r="I196" t="s">
        <v>136</v>
      </c>
      <c r="J196">
        <v>17127</v>
      </c>
      <c r="K196" s="4" t="str">
        <f t="shared" ref="K196:K244" si="4">LEFT(J196,2)</f>
        <v>17</v>
      </c>
      <c r="L196" t="s">
        <v>243</v>
      </c>
      <c r="N196" t="s">
        <v>226</v>
      </c>
      <c r="O196" t="s">
        <v>339</v>
      </c>
      <c r="P196">
        <v>16.936</v>
      </c>
      <c r="Q196">
        <v>8</v>
      </c>
      <c r="R196">
        <v>169995</v>
      </c>
      <c r="S196">
        <v>4</v>
      </c>
      <c r="Z196">
        <v>30</v>
      </c>
      <c r="AA196">
        <v>17</v>
      </c>
      <c r="AB196" t="s">
        <v>361</v>
      </c>
      <c r="AC196" t="s">
        <v>362</v>
      </c>
      <c r="AD196">
        <v>6.5</v>
      </c>
    </row>
    <row r="197" spans="1:30" x14ac:dyDescent="0.25">
      <c r="A197" t="s">
        <v>29</v>
      </c>
      <c r="B197" t="s">
        <v>30</v>
      </c>
      <c r="C197" t="s">
        <v>41</v>
      </c>
      <c r="D197">
        <v>19904</v>
      </c>
      <c r="E197" t="s">
        <v>67</v>
      </c>
      <c r="F197" t="s">
        <v>242</v>
      </c>
      <c r="G197">
        <v>-31.88174419868421</v>
      </c>
      <c r="H197">
        <v>-57.53772854804992</v>
      </c>
      <c r="I197" t="s">
        <v>53</v>
      </c>
      <c r="J197">
        <v>17800</v>
      </c>
      <c r="K197" s="4" t="str">
        <f t="shared" si="4"/>
        <v>17</v>
      </c>
      <c r="L197" t="s">
        <v>243</v>
      </c>
      <c r="N197" t="s">
        <v>178</v>
      </c>
      <c r="O197" t="s">
        <v>380</v>
      </c>
      <c r="P197">
        <v>498</v>
      </c>
      <c r="Q197">
        <v>2.36</v>
      </c>
      <c r="R197">
        <v>19904</v>
      </c>
      <c r="S197">
        <v>3.8</v>
      </c>
      <c r="AA197">
        <v>17</v>
      </c>
      <c r="AB197" t="s">
        <v>38</v>
      </c>
      <c r="AC197" t="s">
        <v>50</v>
      </c>
      <c r="AD197">
        <v>0</v>
      </c>
    </row>
    <row r="198" spans="1:30" x14ac:dyDescent="0.25">
      <c r="A198" t="s">
        <v>29</v>
      </c>
      <c r="B198" t="s">
        <v>30</v>
      </c>
      <c r="C198" t="s">
        <v>41</v>
      </c>
      <c r="D198">
        <v>200000</v>
      </c>
      <c r="E198" t="s">
        <v>51</v>
      </c>
      <c r="F198" t="s">
        <v>120</v>
      </c>
      <c r="G198">
        <v>-32.18797</v>
      </c>
      <c r="H198">
        <v>-58.060380000000002</v>
      </c>
      <c r="I198" t="s">
        <v>42</v>
      </c>
      <c r="J198">
        <v>18000</v>
      </c>
      <c r="K198" s="4" t="str">
        <f t="shared" si="4"/>
        <v>18</v>
      </c>
      <c r="L198" t="s">
        <v>205</v>
      </c>
      <c r="N198" t="s">
        <v>206</v>
      </c>
      <c r="O198" t="s">
        <v>207</v>
      </c>
      <c r="P198">
        <v>80</v>
      </c>
      <c r="Q198">
        <v>17.3</v>
      </c>
      <c r="R198">
        <v>685980</v>
      </c>
      <c r="S198">
        <v>5.91</v>
      </c>
      <c r="AA198">
        <v>18</v>
      </c>
      <c r="AB198" t="s">
        <v>38</v>
      </c>
      <c r="AC198" t="s">
        <v>39</v>
      </c>
      <c r="AD198">
        <v>8</v>
      </c>
    </row>
    <row r="199" spans="1:30" x14ac:dyDescent="0.25">
      <c r="A199" t="s">
        <v>29</v>
      </c>
      <c r="B199" t="s">
        <v>30</v>
      </c>
      <c r="C199" t="s">
        <v>41</v>
      </c>
      <c r="D199">
        <v>1580000</v>
      </c>
      <c r="E199" t="s">
        <v>51</v>
      </c>
      <c r="F199" t="s">
        <v>97</v>
      </c>
      <c r="G199">
        <v>-32.379550000000002</v>
      </c>
      <c r="H199">
        <v>-57.819679999999998</v>
      </c>
      <c r="I199" t="s">
        <v>85</v>
      </c>
      <c r="J199">
        <v>18650</v>
      </c>
      <c r="K199" s="4" t="str">
        <f t="shared" si="4"/>
        <v>18</v>
      </c>
      <c r="L199" t="s">
        <v>194</v>
      </c>
      <c r="M199">
        <v>4</v>
      </c>
      <c r="N199" t="s">
        <v>237</v>
      </c>
      <c r="O199" t="s">
        <v>238</v>
      </c>
      <c r="P199">
        <v>1100</v>
      </c>
      <c r="Q199">
        <v>62.5</v>
      </c>
      <c r="R199">
        <v>1581000</v>
      </c>
      <c r="S199">
        <v>8.1</v>
      </c>
      <c r="AA199">
        <v>18</v>
      </c>
      <c r="AB199" t="s">
        <v>38</v>
      </c>
      <c r="AC199" t="s">
        <v>39</v>
      </c>
      <c r="AD199">
        <v>526</v>
      </c>
    </row>
    <row r="200" spans="1:30" x14ac:dyDescent="0.25">
      <c r="A200" t="s">
        <v>29</v>
      </c>
      <c r="B200" t="s">
        <v>30</v>
      </c>
      <c r="C200" t="s">
        <v>41</v>
      </c>
      <c r="D200">
        <v>925000</v>
      </c>
      <c r="E200" t="s">
        <v>51</v>
      </c>
      <c r="F200" t="s">
        <v>120</v>
      </c>
      <c r="G200">
        <v>-32.450671351206907</v>
      </c>
      <c r="H200">
        <v>-57.885157175887123</v>
      </c>
      <c r="I200" t="s">
        <v>42</v>
      </c>
      <c r="J200">
        <v>18653</v>
      </c>
      <c r="K200" s="4" t="str">
        <f t="shared" si="4"/>
        <v>18</v>
      </c>
      <c r="L200" t="s">
        <v>241</v>
      </c>
      <c r="N200" t="s">
        <v>237</v>
      </c>
      <c r="O200" t="s">
        <v>56</v>
      </c>
      <c r="P200">
        <v>216</v>
      </c>
      <c r="Q200">
        <v>31</v>
      </c>
      <c r="R200">
        <v>925000</v>
      </c>
      <c r="S200">
        <v>8</v>
      </c>
      <c r="AA200">
        <v>18</v>
      </c>
      <c r="AB200" t="s">
        <v>57</v>
      </c>
      <c r="AC200" t="s">
        <v>39</v>
      </c>
    </row>
    <row r="201" spans="1:30" x14ac:dyDescent="0.25">
      <c r="A201" t="s">
        <v>29</v>
      </c>
      <c r="B201" t="s">
        <v>30</v>
      </c>
      <c r="C201" t="s">
        <v>270</v>
      </c>
      <c r="D201">
        <v>240100</v>
      </c>
      <c r="E201" t="s">
        <v>51</v>
      </c>
      <c r="F201" t="s">
        <v>99</v>
      </c>
      <c r="G201">
        <v>-33.087366381615794</v>
      </c>
      <c r="H201">
        <v>-58.085972446400071</v>
      </c>
      <c r="I201" t="s">
        <v>42</v>
      </c>
      <c r="J201">
        <v>18910</v>
      </c>
      <c r="K201" s="4" t="str">
        <f t="shared" si="4"/>
        <v>18</v>
      </c>
      <c r="L201" t="s">
        <v>271</v>
      </c>
      <c r="M201">
        <v>1</v>
      </c>
      <c r="N201" t="s">
        <v>272</v>
      </c>
      <c r="O201" t="s">
        <v>56</v>
      </c>
      <c r="P201">
        <v>2320</v>
      </c>
      <c r="Q201">
        <v>10.4</v>
      </c>
      <c r="R201">
        <v>180000</v>
      </c>
      <c r="S201">
        <v>6</v>
      </c>
      <c r="AA201">
        <v>18</v>
      </c>
      <c r="AB201" t="s">
        <v>57</v>
      </c>
      <c r="AC201" t="s">
        <v>39</v>
      </c>
      <c r="AD201">
        <v>98</v>
      </c>
    </row>
    <row r="202" spans="1:30" x14ac:dyDescent="0.25">
      <c r="A202" t="s">
        <v>29</v>
      </c>
      <c r="B202" t="s">
        <v>30</v>
      </c>
      <c r="C202" t="s">
        <v>270</v>
      </c>
      <c r="D202">
        <v>517000</v>
      </c>
      <c r="E202" t="s">
        <v>51</v>
      </c>
      <c r="F202" t="s">
        <v>99</v>
      </c>
      <c r="G202">
        <v>-32.703800000000001</v>
      </c>
      <c r="H202">
        <v>-58.045059999999999</v>
      </c>
      <c r="I202" t="s">
        <v>42</v>
      </c>
      <c r="J202">
        <v>18900</v>
      </c>
      <c r="K202" s="4" t="str">
        <f t="shared" si="4"/>
        <v>18</v>
      </c>
      <c r="L202" t="s">
        <v>273</v>
      </c>
      <c r="M202">
        <v>3</v>
      </c>
      <c r="N202" t="s">
        <v>272</v>
      </c>
      <c r="O202" t="s">
        <v>56</v>
      </c>
      <c r="P202">
        <v>200</v>
      </c>
      <c r="Q202">
        <v>20.6</v>
      </c>
      <c r="R202">
        <v>517000</v>
      </c>
      <c r="S202">
        <v>7.9</v>
      </c>
      <c r="AA202">
        <v>18</v>
      </c>
      <c r="AB202" t="s">
        <v>38</v>
      </c>
      <c r="AC202" t="s">
        <v>39</v>
      </c>
      <c r="AD202">
        <v>103</v>
      </c>
    </row>
    <row r="203" spans="1:30" x14ac:dyDescent="0.25">
      <c r="A203" t="s">
        <v>29</v>
      </c>
      <c r="B203" t="s">
        <v>30</v>
      </c>
      <c r="C203" t="s">
        <v>270</v>
      </c>
      <c r="D203">
        <v>1200</v>
      </c>
      <c r="E203" t="s">
        <v>32</v>
      </c>
      <c r="F203" t="s">
        <v>33</v>
      </c>
      <c r="G203">
        <v>-32.592204374674914</v>
      </c>
      <c r="H203">
        <v>-58.063091862053483</v>
      </c>
      <c r="I203" t="s">
        <v>46</v>
      </c>
      <c r="J203">
        <v>18670</v>
      </c>
      <c r="K203" s="4" t="str">
        <f t="shared" si="4"/>
        <v>18</v>
      </c>
      <c r="L203" t="s">
        <v>283</v>
      </c>
      <c r="M203">
        <v>3</v>
      </c>
      <c r="N203" t="s">
        <v>237</v>
      </c>
      <c r="O203" t="s">
        <v>56</v>
      </c>
      <c r="P203">
        <v>26</v>
      </c>
      <c r="Q203">
        <v>0.26</v>
      </c>
      <c r="R203">
        <v>1200</v>
      </c>
      <c r="S203">
        <v>1.8</v>
      </c>
      <c r="AA203">
        <v>18</v>
      </c>
      <c r="AB203" t="s">
        <v>38</v>
      </c>
      <c r="AC203" t="s">
        <v>50</v>
      </c>
    </row>
    <row r="204" spans="1:30" x14ac:dyDescent="0.25">
      <c r="A204" t="s">
        <v>29</v>
      </c>
      <c r="B204" t="s">
        <v>30</v>
      </c>
      <c r="C204" t="s">
        <v>270</v>
      </c>
      <c r="D204">
        <v>3500</v>
      </c>
      <c r="E204" t="s">
        <v>32</v>
      </c>
      <c r="F204" t="s">
        <v>33</v>
      </c>
      <c r="G204">
        <v>-32.592305078685577</v>
      </c>
      <c r="H204">
        <v>-58.062559219781576</v>
      </c>
      <c r="I204" t="s">
        <v>46</v>
      </c>
      <c r="J204">
        <v>18670</v>
      </c>
      <c r="K204" s="4" t="str">
        <f t="shared" si="4"/>
        <v>18</v>
      </c>
      <c r="L204" t="s">
        <v>283</v>
      </c>
      <c r="M204">
        <v>3</v>
      </c>
      <c r="N204" t="s">
        <v>237</v>
      </c>
      <c r="O204" t="s">
        <v>56</v>
      </c>
      <c r="P204">
        <v>18</v>
      </c>
      <c r="Q204">
        <v>0.5</v>
      </c>
      <c r="R204">
        <v>3500</v>
      </c>
      <c r="S204">
        <v>2</v>
      </c>
      <c r="AA204">
        <v>18</v>
      </c>
      <c r="AB204" t="s">
        <v>38</v>
      </c>
      <c r="AC204" t="s">
        <v>50</v>
      </c>
    </row>
    <row r="205" spans="1:30" x14ac:dyDescent="0.25">
      <c r="A205" t="s">
        <v>29</v>
      </c>
      <c r="B205" t="s">
        <v>30</v>
      </c>
      <c r="C205" t="s">
        <v>270</v>
      </c>
      <c r="D205">
        <v>573000</v>
      </c>
      <c r="E205" t="s">
        <v>51</v>
      </c>
      <c r="F205" t="s">
        <v>99</v>
      </c>
      <c r="G205">
        <v>-32.635742691069041</v>
      </c>
      <c r="H205">
        <v>-57.808167127659061</v>
      </c>
      <c r="I205" t="s">
        <v>42</v>
      </c>
      <c r="J205">
        <v>18630</v>
      </c>
      <c r="K205" s="4" t="str">
        <f t="shared" si="4"/>
        <v>18</v>
      </c>
      <c r="L205" t="s">
        <v>291</v>
      </c>
      <c r="N205" t="s">
        <v>237</v>
      </c>
      <c r="O205" t="s">
        <v>292</v>
      </c>
      <c r="P205">
        <v>260</v>
      </c>
      <c r="Q205">
        <v>23.86</v>
      </c>
      <c r="R205">
        <v>573000</v>
      </c>
      <c r="S205">
        <v>7.5</v>
      </c>
      <c r="AA205">
        <v>18</v>
      </c>
      <c r="AB205" t="s">
        <v>57</v>
      </c>
      <c r="AC205" t="s">
        <v>39</v>
      </c>
      <c r="AD205">
        <v>182</v>
      </c>
    </row>
    <row r="206" spans="1:30" x14ac:dyDescent="0.25">
      <c r="A206" t="s">
        <v>29</v>
      </c>
      <c r="B206" t="s">
        <v>30</v>
      </c>
      <c r="C206" t="s">
        <v>270</v>
      </c>
      <c r="D206">
        <v>643293</v>
      </c>
      <c r="E206" t="s">
        <v>51</v>
      </c>
      <c r="F206" t="s">
        <v>99</v>
      </c>
      <c r="G206">
        <v>-32.65356983555796</v>
      </c>
      <c r="H206">
        <v>-57.824474960059526</v>
      </c>
      <c r="I206" t="s">
        <v>42</v>
      </c>
      <c r="J206">
        <v>18630</v>
      </c>
      <c r="K206" s="4" t="str">
        <f t="shared" si="4"/>
        <v>18</v>
      </c>
      <c r="L206" t="s">
        <v>291</v>
      </c>
      <c r="M206">
        <v>4</v>
      </c>
      <c r="N206" t="s">
        <v>237</v>
      </c>
      <c r="O206" t="s">
        <v>56</v>
      </c>
      <c r="P206">
        <v>390</v>
      </c>
      <c r="Q206">
        <v>32.1</v>
      </c>
      <c r="R206">
        <v>799000</v>
      </c>
      <c r="S206">
        <v>8.5</v>
      </c>
      <c r="AA206">
        <v>18</v>
      </c>
      <c r="AB206" t="s">
        <v>38</v>
      </c>
      <c r="AC206" t="s">
        <v>39</v>
      </c>
      <c r="AD206">
        <v>170</v>
      </c>
    </row>
    <row r="207" spans="1:30" x14ac:dyDescent="0.25">
      <c r="A207" t="s">
        <v>29</v>
      </c>
      <c r="B207" t="s">
        <v>30</v>
      </c>
      <c r="C207" t="s">
        <v>270</v>
      </c>
      <c r="D207">
        <v>17000</v>
      </c>
      <c r="E207" t="s">
        <v>67</v>
      </c>
      <c r="F207" t="s">
        <v>242</v>
      </c>
      <c r="G207">
        <v>-32.881080604370318</v>
      </c>
      <c r="H207">
        <v>-58.038357496261582</v>
      </c>
      <c r="I207" t="s">
        <v>53</v>
      </c>
      <c r="J207">
        <v>18910</v>
      </c>
      <c r="K207" s="4" t="str">
        <f t="shared" si="4"/>
        <v>18</v>
      </c>
      <c r="L207" t="s">
        <v>243</v>
      </c>
      <c r="M207">
        <v>2</v>
      </c>
      <c r="N207" t="s">
        <v>272</v>
      </c>
      <c r="O207" t="s">
        <v>304</v>
      </c>
      <c r="P207">
        <v>187</v>
      </c>
      <c r="Q207">
        <v>5.88</v>
      </c>
      <c r="R207">
        <v>59</v>
      </c>
      <c r="S207">
        <v>4.3</v>
      </c>
      <c r="AA207">
        <v>18</v>
      </c>
      <c r="AB207" t="s">
        <v>38</v>
      </c>
      <c r="AC207" t="s">
        <v>50</v>
      </c>
    </row>
    <row r="208" spans="1:30" x14ac:dyDescent="0.25">
      <c r="A208" t="s">
        <v>29</v>
      </c>
      <c r="B208" t="s">
        <v>30</v>
      </c>
      <c r="C208" t="s">
        <v>41</v>
      </c>
      <c r="D208">
        <v>4000</v>
      </c>
      <c r="E208" t="s">
        <v>51</v>
      </c>
      <c r="F208" t="s">
        <v>120</v>
      </c>
      <c r="G208">
        <v>-32.318522306501876</v>
      </c>
      <c r="H208">
        <v>-57.964336571458247</v>
      </c>
      <c r="I208" t="s">
        <v>136</v>
      </c>
      <c r="J208">
        <v>18300</v>
      </c>
      <c r="K208" s="4" t="str">
        <f t="shared" si="4"/>
        <v>18</v>
      </c>
      <c r="L208" t="s">
        <v>323</v>
      </c>
      <c r="M208">
        <v>8</v>
      </c>
      <c r="N208" t="s">
        <v>324</v>
      </c>
      <c r="O208" t="s">
        <v>56</v>
      </c>
      <c r="P208">
        <v>52</v>
      </c>
      <c r="Q208">
        <v>1.04</v>
      </c>
      <c r="R208">
        <v>4000</v>
      </c>
      <c r="S208">
        <v>1.6</v>
      </c>
      <c r="AA208">
        <v>18</v>
      </c>
      <c r="AB208" t="s">
        <v>57</v>
      </c>
      <c r="AC208" t="s">
        <v>50</v>
      </c>
    </row>
    <row r="209" spans="1:30" x14ac:dyDescent="0.25">
      <c r="A209" t="s">
        <v>29</v>
      </c>
      <c r="B209" t="s">
        <v>30</v>
      </c>
      <c r="C209" t="s">
        <v>270</v>
      </c>
      <c r="D209">
        <v>564366</v>
      </c>
      <c r="E209" t="s">
        <v>51</v>
      </c>
      <c r="F209" t="s">
        <v>99</v>
      </c>
      <c r="G209">
        <v>-32.652048332796774</v>
      </c>
      <c r="H209">
        <v>-57.830824255943291</v>
      </c>
      <c r="I209" t="s">
        <v>42</v>
      </c>
      <c r="J209">
        <v>18641</v>
      </c>
      <c r="K209" s="4" t="str">
        <f t="shared" si="4"/>
        <v>18</v>
      </c>
      <c r="L209" t="s">
        <v>291</v>
      </c>
      <c r="M209">
        <v>4</v>
      </c>
      <c r="N209" t="s">
        <v>237</v>
      </c>
      <c r="O209" t="s">
        <v>56</v>
      </c>
      <c r="P209">
        <v>262</v>
      </c>
      <c r="Q209">
        <v>26.14</v>
      </c>
      <c r="R209">
        <v>564000</v>
      </c>
      <c r="S209">
        <v>7.5</v>
      </c>
      <c r="AA209">
        <v>18</v>
      </c>
      <c r="AB209" t="s">
        <v>38</v>
      </c>
      <c r="AC209" t="s">
        <v>39</v>
      </c>
      <c r="AD209">
        <v>170</v>
      </c>
    </row>
    <row r="210" spans="1:30" x14ac:dyDescent="0.25">
      <c r="A210" t="s">
        <v>29</v>
      </c>
      <c r="B210" t="s">
        <v>30</v>
      </c>
      <c r="C210" t="s">
        <v>270</v>
      </c>
      <c r="D210">
        <v>1410493</v>
      </c>
      <c r="E210" t="s">
        <v>51</v>
      </c>
      <c r="F210" t="s">
        <v>99</v>
      </c>
      <c r="G210">
        <v>-32.676349631711368</v>
      </c>
      <c r="H210">
        <v>-57.746798694133744</v>
      </c>
      <c r="I210" t="s">
        <v>42</v>
      </c>
      <c r="J210">
        <v>18630</v>
      </c>
      <c r="K210" s="4" t="str">
        <f t="shared" si="4"/>
        <v>18</v>
      </c>
      <c r="L210" t="s">
        <v>341</v>
      </c>
      <c r="M210">
        <v>4</v>
      </c>
      <c r="N210" t="s">
        <v>237</v>
      </c>
      <c r="O210" t="s">
        <v>56</v>
      </c>
      <c r="P210">
        <v>400</v>
      </c>
      <c r="Q210">
        <v>53</v>
      </c>
      <c r="R210">
        <v>1410493</v>
      </c>
      <c r="S210">
        <v>8</v>
      </c>
      <c r="AA210">
        <v>18</v>
      </c>
      <c r="AB210" t="s">
        <v>38</v>
      </c>
      <c r="AC210" t="s">
        <v>39</v>
      </c>
      <c r="AD210">
        <v>300</v>
      </c>
    </row>
    <row r="211" spans="1:30" x14ac:dyDescent="0.25">
      <c r="A211" t="s">
        <v>29</v>
      </c>
      <c r="B211" t="s">
        <v>30</v>
      </c>
      <c r="C211" t="s">
        <v>270</v>
      </c>
      <c r="D211">
        <v>400000</v>
      </c>
      <c r="E211" t="s">
        <v>51</v>
      </c>
      <c r="F211" t="s">
        <v>97</v>
      </c>
      <c r="G211">
        <v>-32.720896595447407</v>
      </c>
      <c r="H211">
        <v>-57.777998149394982</v>
      </c>
      <c r="I211" t="s">
        <v>42</v>
      </c>
      <c r="J211">
        <v>18641</v>
      </c>
      <c r="K211" s="4" t="str">
        <f t="shared" si="4"/>
        <v>18</v>
      </c>
      <c r="L211" t="s">
        <v>352</v>
      </c>
      <c r="M211">
        <v>4</v>
      </c>
      <c r="N211" t="s">
        <v>237</v>
      </c>
      <c r="O211" t="s">
        <v>56</v>
      </c>
      <c r="P211">
        <v>490</v>
      </c>
      <c r="Q211">
        <v>22.92</v>
      </c>
      <c r="R211">
        <v>400000</v>
      </c>
      <c r="S211">
        <v>5.9</v>
      </c>
      <c r="AA211">
        <v>18</v>
      </c>
      <c r="AB211" t="s">
        <v>38</v>
      </c>
      <c r="AC211" t="s">
        <v>39</v>
      </c>
    </row>
    <row r="212" spans="1:30" x14ac:dyDescent="0.25">
      <c r="A212" t="s">
        <v>29</v>
      </c>
      <c r="B212" t="s">
        <v>30</v>
      </c>
      <c r="C212" t="s">
        <v>270</v>
      </c>
      <c r="D212">
        <v>503852</v>
      </c>
      <c r="E212" t="s">
        <v>51</v>
      </c>
      <c r="F212" t="s">
        <v>99</v>
      </c>
      <c r="G212">
        <v>-32.55480253669792</v>
      </c>
      <c r="H212">
        <v>-57.705728709697709</v>
      </c>
      <c r="I212" t="s">
        <v>42</v>
      </c>
      <c r="J212">
        <v>18607</v>
      </c>
      <c r="K212" s="4" t="str">
        <f t="shared" si="4"/>
        <v>18</v>
      </c>
      <c r="L212" t="s">
        <v>353</v>
      </c>
      <c r="M212">
        <v>5</v>
      </c>
      <c r="N212" t="s">
        <v>237</v>
      </c>
      <c r="O212" t="s">
        <v>354</v>
      </c>
      <c r="P212">
        <v>207</v>
      </c>
      <c r="Q212">
        <v>21.47</v>
      </c>
      <c r="R212">
        <v>500000</v>
      </c>
      <c r="S212">
        <v>7.75</v>
      </c>
      <c r="AA212">
        <v>18</v>
      </c>
      <c r="AB212" t="s">
        <v>38</v>
      </c>
      <c r="AC212" t="s">
        <v>39</v>
      </c>
      <c r="AD212">
        <v>200</v>
      </c>
    </row>
    <row r="213" spans="1:30" x14ac:dyDescent="0.25">
      <c r="A213" t="s">
        <v>29</v>
      </c>
      <c r="B213" t="s">
        <v>30</v>
      </c>
      <c r="C213" t="s">
        <v>270</v>
      </c>
      <c r="D213">
        <v>1778000</v>
      </c>
      <c r="E213" t="s">
        <v>51</v>
      </c>
      <c r="F213" t="s">
        <v>99</v>
      </c>
      <c r="G213">
        <v>-32.635678536552994</v>
      </c>
      <c r="H213">
        <v>-57.782930731773376</v>
      </c>
      <c r="I213" t="s">
        <v>85</v>
      </c>
      <c r="J213">
        <v>18630</v>
      </c>
      <c r="K213" s="4" t="str">
        <f t="shared" si="4"/>
        <v>18</v>
      </c>
      <c r="L213" t="s">
        <v>363</v>
      </c>
      <c r="M213">
        <v>4</v>
      </c>
      <c r="N213" t="s">
        <v>237</v>
      </c>
      <c r="O213" t="s">
        <v>364</v>
      </c>
      <c r="P213">
        <v>1900</v>
      </c>
      <c r="Q213">
        <v>87.72</v>
      </c>
      <c r="R213">
        <v>1675700</v>
      </c>
      <c r="S213">
        <v>7.7</v>
      </c>
      <c r="AA213">
        <v>18</v>
      </c>
      <c r="AB213" t="s">
        <v>57</v>
      </c>
      <c r="AC213" t="s">
        <v>50</v>
      </c>
      <c r="AD213">
        <v>670</v>
      </c>
    </row>
    <row r="214" spans="1:30" x14ac:dyDescent="0.25">
      <c r="A214" t="s">
        <v>29</v>
      </c>
      <c r="B214" t="s">
        <v>30</v>
      </c>
      <c r="C214" t="s">
        <v>41</v>
      </c>
      <c r="D214">
        <v>678000</v>
      </c>
      <c r="E214" t="s">
        <v>51</v>
      </c>
      <c r="F214" t="s">
        <v>99</v>
      </c>
      <c r="G214">
        <v>-32.456108867137196</v>
      </c>
      <c r="H214">
        <v>-57.932323068380363</v>
      </c>
      <c r="I214" t="s">
        <v>34</v>
      </c>
      <c r="J214">
        <v>18656</v>
      </c>
      <c r="K214" s="4" t="str">
        <f t="shared" si="4"/>
        <v>18</v>
      </c>
      <c r="L214" t="s">
        <v>369</v>
      </c>
      <c r="N214" t="s">
        <v>237</v>
      </c>
      <c r="O214" t="s">
        <v>56</v>
      </c>
      <c r="P214">
        <v>615</v>
      </c>
      <c r="Q214">
        <v>30.18</v>
      </c>
      <c r="R214">
        <v>678000</v>
      </c>
      <c r="S214">
        <v>8.6999999999999993</v>
      </c>
      <c r="AA214">
        <v>18</v>
      </c>
      <c r="AB214" t="s">
        <v>38</v>
      </c>
      <c r="AC214" t="s">
        <v>39</v>
      </c>
      <c r="AD214">
        <v>260</v>
      </c>
    </row>
    <row r="215" spans="1:30" x14ac:dyDescent="0.25">
      <c r="A215" t="s">
        <v>29</v>
      </c>
      <c r="B215" t="s">
        <v>30</v>
      </c>
      <c r="C215" t="s">
        <v>270</v>
      </c>
      <c r="D215">
        <v>369259</v>
      </c>
      <c r="E215" t="s">
        <v>51</v>
      </c>
      <c r="F215" t="s">
        <v>99</v>
      </c>
      <c r="G215">
        <v>-32.477598473196153</v>
      </c>
      <c r="H215">
        <v>-58.080757856369019</v>
      </c>
      <c r="I215" t="s">
        <v>34</v>
      </c>
      <c r="J215">
        <v>18660</v>
      </c>
      <c r="K215" s="4" t="str">
        <f t="shared" si="4"/>
        <v>18</v>
      </c>
      <c r="L215" t="s">
        <v>371</v>
      </c>
      <c r="N215" t="s">
        <v>237</v>
      </c>
      <c r="O215" t="s">
        <v>372</v>
      </c>
      <c r="P215">
        <v>603</v>
      </c>
      <c r="Q215">
        <v>18.36</v>
      </c>
      <c r="R215">
        <v>369300</v>
      </c>
      <c r="S215">
        <v>8</v>
      </c>
      <c r="AA215">
        <v>18</v>
      </c>
      <c r="AB215" t="s">
        <v>38</v>
      </c>
      <c r="AC215" t="s">
        <v>39</v>
      </c>
      <c r="AD215">
        <v>423</v>
      </c>
    </row>
    <row r="216" spans="1:30" x14ac:dyDescent="0.25">
      <c r="A216" t="s">
        <v>29</v>
      </c>
      <c r="B216" t="s">
        <v>30</v>
      </c>
      <c r="C216" t="s">
        <v>270</v>
      </c>
      <c r="D216">
        <v>38388</v>
      </c>
      <c r="E216" t="s">
        <v>51</v>
      </c>
      <c r="F216" t="s">
        <v>99</v>
      </c>
      <c r="G216">
        <v>-33.288345876115045</v>
      </c>
      <c r="H216">
        <v>-58.33877295255661</v>
      </c>
      <c r="I216" t="s">
        <v>53</v>
      </c>
      <c r="J216">
        <v>18917</v>
      </c>
      <c r="K216" s="4" t="str">
        <f t="shared" si="4"/>
        <v>18</v>
      </c>
      <c r="L216" t="s">
        <v>374</v>
      </c>
      <c r="N216" t="s">
        <v>272</v>
      </c>
      <c r="O216" t="s">
        <v>364</v>
      </c>
      <c r="P216">
        <v>124</v>
      </c>
      <c r="Q216">
        <v>4.5</v>
      </c>
      <c r="R216">
        <v>38388</v>
      </c>
      <c r="S216">
        <v>4.9000000000000004</v>
      </c>
      <c r="AA216">
        <v>18</v>
      </c>
      <c r="AB216" t="s">
        <v>38</v>
      </c>
      <c r="AC216" t="s">
        <v>50</v>
      </c>
      <c r="AD216">
        <v>251.4</v>
      </c>
    </row>
    <row r="217" spans="1:30" x14ac:dyDescent="0.25">
      <c r="A217" t="s">
        <v>29</v>
      </c>
      <c r="B217" t="s">
        <v>30</v>
      </c>
      <c r="C217" t="s">
        <v>66</v>
      </c>
      <c r="D217">
        <v>321840</v>
      </c>
      <c r="E217" t="s">
        <v>67</v>
      </c>
      <c r="F217" t="s">
        <v>68</v>
      </c>
      <c r="G217">
        <v>-33.899275255958237</v>
      </c>
      <c r="H217">
        <v>-57.773302100958219</v>
      </c>
      <c r="I217" t="s">
        <v>34</v>
      </c>
      <c r="J217">
        <v>19320</v>
      </c>
      <c r="K217" s="4" t="str">
        <f t="shared" si="4"/>
        <v>19</v>
      </c>
      <c r="L217" t="s">
        <v>69</v>
      </c>
      <c r="M217">
        <v>5</v>
      </c>
      <c r="N217" t="s">
        <v>70</v>
      </c>
      <c r="O217" t="s">
        <v>71</v>
      </c>
      <c r="P217">
        <v>939</v>
      </c>
      <c r="Q217">
        <v>23.69</v>
      </c>
      <c r="R217">
        <v>321840</v>
      </c>
      <c r="S217">
        <v>5</v>
      </c>
      <c r="AA217">
        <v>19</v>
      </c>
      <c r="AB217" t="s">
        <v>38</v>
      </c>
      <c r="AC217" t="s">
        <v>50</v>
      </c>
    </row>
    <row r="218" spans="1:30" x14ac:dyDescent="0.25">
      <c r="A218" t="s">
        <v>29</v>
      </c>
      <c r="B218" t="s">
        <v>30</v>
      </c>
      <c r="C218" t="s">
        <v>66</v>
      </c>
      <c r="D218">
        <v>456000</v>
      </c>
      <c r="E218" t="s">
        <v>51</v>
      </c>
      <c r="F218" t="s">
        <v>97</v>
      </c>
      <c r="G218">
        <v>-33.688183037090859</v>
      </c>
      <c r="H218">
        <v>-57.824790584653783</v>
      </c>
      <c r="I218" t="s">
        <v>42</v>
      </c>
      <c r="J218">
        <v>19330</v>
      </c>
      <c r="K218" s="4" t="str">
        <f t="shared" si="4"/>
        <v>19</v>
      </c>
      <c r="L218" t="s">
        <v>98</v>
      </c>
      <c r="M218">
        <v>6</v>
      </c>
      <c r="N218" t="s">
        <v>70</v>
      </c>
      <c r="O218" t="s">
        <v>56</v>
      </c>
      <c r="P218">
        <v>200</v>
      </c>
      <c r="Q218">
        <v>16.3</v>
      </c>
      <c r="R218">
        <v>456000</v>
      </c>
      <c r="S218">
        <v>9.1999999999999993</v>
      </c>
      <c r="AA218">
        <v>19</v>
      </c>
      <c r="AB218" t="s">
        <v>38</v>
      </c>
      <c r="AC218" t="s">
        <v>39</v>
      </c>
    </row>
    <row r="219" spans="1:30" x14ac:dyDescent="0.25">
      <c r="A219" t="s">
        <v>29</v>
      </c>
      <c r="B219" t="s">
        <v>30</v>
      </c>
      <c r="C219" t="s">
        <v>66</v>
      </c>
      <c r="D219">
        <v>680800</v>
      </c>
      <c r="E219" t="s">
        <v>51</v>
      </c>
      <c r="F219" t="s">
        <v>99</v>
      </c>
      <c r="G219">
        <v>-33.642767006614022</v>
      </c>
      <c r="H219">
        <v>-57.925752997398369</v>
      </c>
      <c r="I219" t="s">
        <v>34</v>
      </c>
      <c r="J219">
        <v>19342</v>
      </c>
      <c r="K219" s="4" t="str">
        <f t="shared" si="4"/>
        <v>19</v>
      </c>
      <c r="L219" t="s">
        <v>100</v>
      </c>
      <c r="N219" t="s">
        <v>70</v>
      </c>
      <c r="O219" t="s">
        <v>56</v>
      </c>
      <c r="P219">
        <v>540</v>
      </c>
      <c r="Q219">
        <v>33.72</v>
      </c>
      <c r="R219">
        <v>680800</v>
      </c>
      <c r="S219">
        <v>9.1</v>
      </c>
      <c r="AA219">
        <v>19</v>
      </c>
      <c r="AB219" t="s">
        <v>38</v>
      </c>
      <c r="AC219" t="s">
        <v>39</v>
      </c>
      <c r="AD219">
        <v>160</v>
      </c>
    </row>
    <row r="220" spans="1:30" x14ac:dyDescent="0.25">
      <c r="A220" t="s">
        <v>29</v>
      </c>
      <c r="B220" t="s">
        <v>30</v>
      </c>
      <c r="C220" t="s">
        <v>66</v>
      </c>
      <c r="D220">
        <v>306240</v>
      </c>
      <c r="E220" t="s">
        <v>51</v>
      </c>
      <c r="F220" t="s">
        <v>97</v>
      </c>
      <c r="G220">
        <v>-33.599127386065355</v>
      </c>
      <c r="H220">
        <v>-57.977637583735863</v>
      </c>
      <c r="I220" t="s">
        <v>136</v>
      </c>
      <c r="J220">
        <v>19350</v>
      </c>
      <c r="K220" s="4" t="str">
        <f t="shared" si="4"/>
        <v>19</v>
      </c>
      <c r="L220" t="s">
        <v>137</v>
      </c>
      <c r="M220">
        <v>7</v>
      </c>
      <c r="N220" t="s">
        <v>70</v>
      </c>
      <c r="O220" t="s">
        <v>56</v>
      </c>
      <c r="Q220">
        <v>20.399999999999999</v>
      </c>
      <c r="R220">
        <v>306240</v>
      </c>
      <c r="S220">
        <v>6.7</v>
      </c>
      <c r="AA220">
        <v>19</v>
      </c>
      <c r="AB220" t="s">
        <v>38</v>
      </c>
      <c r="AC220" t="s">
        <v>39</v>
      </c>
      <c r="AD220">
        <v>0</v>
      </c>
    </row>
    <row r="221" spans="1:30" x14ac:dyDescent="0.25">
      <c r="A221" t="s">
        <v>29</v>
      </c>
      <c r="B221" t="s">
        <v>30</v>
      </c>
      <c r="C221" t="s">
        <v>66</v>
      </c>
      <c r="D221">
        <v>391000</v>
      </c>
      <c r="E221" t="s">
        <v>51</v>
      </c>
      <c r="F221" t="s">
        <v>97</v>
      </c>
      <c r="G221">
        <v>-33.645813720109601</v>
      </c>
      <c r="H221">
        <v>-58.106935004127855</v>
      </c>
      <c r="I221" t="s">
        <v>42</v>
      </c>
      <c r="J221">
        <v>19347</v>
      </c>
      <c r="K221" s="4" t="str">
        <f t="shared" si="4"/>
        <v>19</v>
      </c>
      <c r="L221" t="s">
        <v>142</v>
      </c>
      <c r="M221">
        <v>3</v>
      </c>
      <c r="N221" t="s">
        <v>70</v>
      </c>
      <c r="O221" t="s">
        <v>56</v>
      </c>
      <c r="P221">
        <v>315</v>
      </c>
      <c r="Q221">
        <v>20.6</v>
      </c>
      <c r="R221">
        <v>391000</v>
      </c>
      <c r="S221">
        <v>5.9</v>
      </c>
      <c r="AA221">
        <v>19</v>
      </c>
      <c r="AB221" t="s">
        <v>38</v>
      </c>
      <c r="AC221" t="s">
        <v>39</v>
      </c>
    </row>
    <row r="222" spans="1:30" x14ac:dyDescent="0.25">
      <c r="A222" t="s">
        <v>29</v>
      </c>
      <c r="B222" t="s">
        <v>30</v>
      </c>
      <c r="C222" t="s">
        <v>66</v>
      </c>
      <c r="D222">
        <v>609950</v>
      </c>
      <c r="E222" t="s">
        <v>51</v>
      </c>
      <c r="F222" t="s">
        <v>149</v>
      </c>
      <c r="G222">
        <v>-33.915361579350296</v>
      </c>
      <c r="H222">
        <v>-57.606097486484302</v>
      </c>
      <c r="I222" t="s">
        <v>42</v>
      </c>
      <c r="J222">
        <v>19300</v>
      </c>
      <c r="K222" s="4" t="str">
        <f t="shared" si="4"/>
        <v>19</v>
      </c>
      <c r="L222" t="s">
        <v>176</v>
      </c>
      <c r="M222">
        <v>5</v>
      </c>
      <c r="N222" t="s">
        <v>70</v>
      </c>
      <c r="O222" t="s">
        <v>56</v>
      </c>
      <c r="P222">
        <v>360</v>
      </c>
      <c r="Q222">
        <v>29.5</v>
      </c>
      <c r="R222">
        <v>609950</v>
      </c>
      <c r="S222">
        <v>7</v>
      </c>
      <c r="AA222">
        <v>19</v>
      </c>
      <c r="AB222" t="s">
        <v>57</v>
      </c>
      <c r="AC222" t="s">
        <v>39</v>
      </c>
      <c r="AD222">
        <v>0</v>
      </c>
    </row>
    <row r="223" spans="1:30" x14ac:dyDescent="0.25">
      <c r="A223" t="s">
        <v>29</v>
      </c>
      <c r="B223" t="s">
        <v>30</v>
      </c>
      <c r="C223" t="s">
        <v>66</v>
      </c>
      <c r="D223">
        <v>609950</v>
      </c>
      <c r="E223" t="s">
        <v>51</v>
      </c>
      <c r="F223" t="s">
        <v>149</v>
      </c>
      <c r="G223">
        <v>-33.911092819279901</v>
      </c>
      <c r="H223">
        <v>-57.589790918557796</v>
      </c>
      <c r="I223" t="s">
        <v>42</v>
      </c>
      <c r="J223">
        <v>19300</v>
      </c>
      <c r="K223" s="4" t="str">
        <f t="shared" si="4"/>
        <v>19</v>
      </c>
      <c r="L223" t="s">
        <v>176</v>
      </c>
      <c r="M223">
        <v>5</v>
      </c>
      <c r="N223" t="s">
        <v>70</v>
      </c>
      <c r="O223" t="s">
        <v>56</v>
      </c>
      <c r="P223">
        <v>360</v>
      </c>
      <c r="Q223">
        <v>29.5</v>
      </c>
      <c r="R223">
        <v>609950</v>
      </c>
      <c r="S223">
        <v>7</v>
      </c>
      <c r="AA223">
        <v>19</v>
      </c>
      <c r="AB223" t="s">
        <v>57</v>
      </c>
      <c r="AC223" t="s">
        <v>39</v>
      </c>
    </row>
    <row r="224" spans="1:30" x14ac:dyDescent="0.25">
      <c r="A224" t="s">
        <v>29</v>
      </c>
      <c r="B224" t="s">
        <v>30</v>
      </c>
      <c r="C224" t="s">
        <v>66</v>
      </c>
      <c r="D224">
        <v>324000</v>
      </c>
      <c r="E224" t="s">
        <v>51</v>
      </c>
      <c r="F224" t="s">
        <v>99</v>
      </c>
      <c r="G224">
        <v>-33.68573</v>
      </c>
      <c r="H224">
        <v>-58.158090000000001</v>
      </c>
      <c r="I224" t="s">
        <v>42</v>
      </c>
      <c r="J224">
        <v>19381</v>
      </c>
      <c r="K224" s="4" t="str">
        <f t="shared" si="4"/>
        <v>19</v>
      </c>
      <c r="L224" t="s">
        <v>246</v>
      </c>
      <c r="M224">
        <v>3</v>
      </c>
      <c r="N224" t="s">
        <v>70</v>
      </c>
      <c r="O224" t="s">
        <v>247</v>
      </c>
      <c r="P224">
        <v>140</v>
      </c>
      <c r="Q224">
        <v>12.78</v>
      </c>
      <c r="R224">
        <v>324577</v>
      </c>
      <c r="S224">
        <v>7.8</v>
      </c>
      <c r="AA224">
        <v>19</v>
      </c>
      <c r="AB224" t="s">
        <v>57</v>
      </c>
      <c r="AC224" t="s">
        <v>39</v>
      </c>
      <c r="AD224">
        <v>189</v>
      </c>
    </row>
    <row r="225" spans="1:30" x14ac:dyDescent="0.25">
      <c r="A225" t="s">
        <v>29</v>
      </c>
      <c r="B225" t="s">
        <v>30</v>
      </c>
      <c r="C225" t="s">
        <v>66</v>
      </c>
      <c r="D225">
        <v>74000</v>
      </c>
      <c r="E225" t="s">
        <v>51</v>
      </c>
      <c r="F225" t="s">
        <v>149</v>
      </c>
      <c r="G225">
        <v>-33.932582307476054</v>
      </c>
      <c r="H225">
        <v>-57.667126300722863</v>
      </c>
      <c r="I225" t="s">
        <v>160</v>
      </c>
      <c r="J225">
        <v>19300</v>
      </c>
      <c r="K225" s="4" t="str">
        <f t="shared" si="4"/>
        <v>19</v>
      </c>
      <c r="L225" t="s">
        <v>275</v>
      </c>
      <c r="M225">
        <v>5</v>
      </c>
      <c r="N225" t="s">
        <v>70</v>
      </c>
      <c r="O225" t="s">
        <v>56</v>
      </c>
      <c r="P225">
        <v>85</v>
      </c>
      <c r="Q225">
        <v>4.45</v>
      </c>
      <c r="R225">
        <v>74000</v>
      </c>
      <c r="S225">
        <v>4.5</v>
      </c>
      <c r="AA225">
        <v>19</v>
      </c>
      <c r="AB225" t="s">
        <v>38</v>
      </c>
      <c r="AC225" t="s">
        <v>50</v>
      </c>
    </row>
    <row r="226" spans="1:30" x14ac:dyDescent="0.25">
      <c r="A226" t="s">
        <v>29</v>
      </c>
      <c r="B226" t="s">
        <v>30</v>
      </c>
      <c r="C226" t="s">
        <v>66</v>
      </c>
      <c r="D226">
        <v>330000</v>
      </c>
      <c r="E226" t="s">
        <v>51</v>
      </c>
      <c r="F226" t="s">
        <v>99</v>
      </c>
      <c r="G226">
        <v>-33.478953025776818</v>
      </c>
      <c r="H226">
        <v>-58.05299915688645</v>
      </c>
      <c r="I226" t="s">
        <v>42</v>
      </c>
      <c r="J226">
        <v>19365</v>
      </c>
      <c r="K226" s="4" t="str">
        <f t="shared" si="4"/>
        <v>19</v>
      </c>
      <c r="L226" t="s">
        <v>276</v>
      </c>
      <c r="M226">
        <v>4</v>
      </c>
      <c r="N226" t="s">
        <v>70</v>
      </c>
      <c r="O226" t="s">
        <v>56</v>
      </c>
      <c r="P226">
        <v>103</v>
      </c>
      <c r="Q226">
        <v>15.3</v>
      </c>
      <c r="R226">
        <v>360000</v>
      </c>
      <c r="S226">
        <v>6.7</v>
      </c>
      <c r="AA226">
        <v>19</v>
      </c>
      <c r="AB226" t="s">
        <v>38</v>
      </c>
      <c r="AC226" t="s">
        <v>39</v>
      </c>
      <c r="AD226">
        <v>65</v>
      </c>
    </row>
    <row r="227" spans="1:30" x14ac:dyDescent="0.25">
      <c r="A227" t="s">
        <v>29</v>
      </c>
      <c r="B227" t="s">
        <v>30</v>
      </c>
      <c r="C227" t="s">
        <v>66</v>
      </c>
      <c r="D227">
        <v>615000</v>
      </c>
      <c r="E227" t="s">
        <v>51</v>
      </c>
      <c r="F227" t="s">
        <v>99</v>
      </c>
      <c r="G227">
        <v>-33.481593315110487</v>
      </c>
      <c r="H227">
        <v>-57.927555441856384</v>
      </c>
      <c r="I227" t="s">
        <v>85</v>
      </c>
      <c r="J227">
        <v>19370</v>
      </c>
      <c r="K227" s="4" t="str">
        <f t="shared" si="4"/>
        <v>19</v>
      </c>
      <c r="L227" t="s">
        <v>305</v>
      </c>
      <c r="M227">
        <v>7</v>
      </c>
      <c r="N227" t="s">
        <v>70</v>
      </c>
      <c r="O227" t="s">
        <v>56</v>
      </c>
      <c r="P227">
        <v>1144</v>
      </c>
      <c r="Q227">
        <v>41.33</v>
      </c>
      <c r="R227">
        <v>636159</v>
      </c>
      <c r="S227">
        <v>6.3</v>
      </c>
      <c r="AA227">
        <v>19</v>
      </c>
      <c r="AB227" t="s">
        <v>38</v>
      </c>
      <c r="AC227" t="s">
        <v>39</v>
      </c>
      <c r="AD227">
        <v>205</v>
      </c>
    </row>
    <row r="228" spans="1:30" x14ac:dyDescent="0.25">
      <c r="A228" t="s">
        <v>29</v>
      </c>
      <c r="B228" t="s">
        <v>30</v>
      </c>
      <c r="C228" t="s">
        <v>66</v>
      </c>
      <c r="D228">
        <v>345000</v>
      </c>
      <c r="E228" t="s">
        <v>51</v>
      </c>
      <c r="F228" t="s">
        <v>99</v>
      </c>
      <c r="G228">
        <v>-33.670474142045087</v>
      </c>
      <c r="H228">
        <v>-58.261997401714332</v>
      </c>
      <c r="I228" t="s">
        <v>42</v>
      </c>
      <c r="J228">
        <v>19600</v>
      </c>
      <c r="K228" s="4" t="str">
        <f t="shared" si="4"/>
        <v>19</v>
      </c>
      <c r="L228" t="s">
        <v>305</v>
      </c>
      <c r="M228">
        <v>4</v>
      </c>
      <c r="N228" t="s">
        <v>307</v>
      </c>
      <c r="O228" t="s">
        <v>56</v>
      </c>
      <c r="P228">
        <v>195</v>
      </c>
      <c r="Q228">
        <v>23.99</v>
      </c>
      <c r="R228">
        <v>562913</v>
      </c>
      <c r="S228">
        <v>6.2</v>
      </c>
      <c r="AA228">
        <v>19</v>
      </c>
      <c r="AB228" t="s">
        <v>38</v>
      </c>
      <c r="AC228" t="s">
        <v>39</v>
      </c>
      <c r="AD228">
        <v>115</v>
      </c>
    </row>
    <row r="229" spans="1:30" x14ac:dyDescent="0.25">
      <c r="A229" t="s">
        <v>29</v>
      </c>
      <c r="B229" t="s">
        <v>30</v>
      </c>
      <c r="C229" t="s">
        <v>66</v>
      </c>
      <c r="D229">
        <v>618478</v>
      </c>
      <c r="E229" t="s">
        <v>51</v>
      </c>
      <c r="F229" t="s">
        <v>99</v>
      </c>
      <c r="G229">
        <v>-33.588707805305255</v>
      </c>
      <c r="H229">
        <v>-57.965100333094604</v>
      </c>
      <c r="I229" t="s">
        <v>34</v>
      </c>
      <c r="J229">
        <v>19350</v>
      </c>
      <c r="K229" s="4" t="str">
        <f t="shared" si="4"/>
        <v>19</v>
      </c>
      <c r="L229" t="s">
        <v>319</v>
      </c>
      <c r="N229" t="s">
        <v>70</v>
      </c>
      <c r="O229" t="s">
        <v>56</v>
      </c>
      <c r="P229">
        <v>522</v>
      </c>
      <c r="Q229">
        <v>24</v>
      </c>
      <c r="R229">
        <v>742000</v>
      </c>
      <c r="S229">
        <v>9.6999999999999993</v>
      </c>
      <c r="AA229">
        <v>19</v>
      </c>
      <c r="AB229" t="s">
        <v>57</v>
      </c>
      <c r="AC229" t="s">
        <v>39</v>
      </c>
      <c r="AD229">
        <v>303.60000000000002</v>
      </c>
    </row>
    <row r="230" spans="1:30" x14ac:dyDescent="0.25">
      <c r="A230" t="s">
        <v>29</v>
      </c>
      <c r="B230" t="s">
        <v>30</v>
      </c>
      <c r="C230" t="s">
        <v>66</v>
      </c>
      <c r="D230">
        <v>211600</v>
      </c>
      <c r="E230" t="s">
        <v>51</v>
      </c>
      <c r="F230" t="s">
        <v>99</v>
      </c>
      <c r="G230">
        <v>-33.747927785338675</v>
      </c>
      <c r="H230">
        <v>-57.942583118910271</v>
      </c>
      <c r="I230" t="s">
        <v>42</v>
      </c>
      <c r="J230">
        <v>19320</v>
      </c>
      <c r="K230" s="4" t="str">
        <f t="shared" si="4"/>
        <v>19</v>
      </c>
      <c r="L230" t="s">
        <v>320</v>
      </c>
      <c r="M230">
        <v>6</v>
      </c>
      <c r="N230" t="s">
        <v>70</v>
      </c>
      <c r="O230" t="s">
        <v>56</v>
      </c>
      <c r="P230">
        <v>378</v>
      </c>
      <c r="Q230">
        <v>7.8</v>
      </c>
      <c r="R230">
        <v>211600</v>
      </c>
      <c r="S230">
        <v>8.5</v>
      </c>
      <c r="AA230">
        <v>19</v>
      </c>
      <c r="AB230" t="s">
        <v>57</v>
      </c>
      <c r="AC230" t="s">
        <v>39</v>
      </c>
      <c r="AD230">
        <v>375</v>
      </c>
    </row>
    <row r="231" spans="1:30" x14ac:dyDescent="0.25">
      <c r="A231" t="s">
        <v>29</v>
      </c>
      <c r="B231" t="s">
        <v>30</v>
      </c>
      <c r="C231" t="s">
        <v>66</v>
      </c>
      <c r="D231">
        <v>330508</v>
      </c>
      <c r="E231" t="s">
        <v>51</v>
      </c>
      <c r="F231" t="s">
        <v>99</v>
      </c>
      <c r="G231">
        <v>-33.677617018072119</v>
      </c>
      <c r="H231">
        <v>-57.904727160930641</v>
      </c>
      <c r="I231" t="s">
        <v>42</v>
      </c>
      <c r="J231">
        <v>19330</v>
      </c>
      <c r="K231" s="4" t="str">
        <f t="shared" si="4"/>
        <v>19</v>
      </c>
      <c r="L231" t="s">
        <v>325</v>
      </c>
      <c r="N231" t="s">
        <v>70</v>
      </c>
      <c r="O231" t="s">
        <v>56</v>
      </c>
      <c r="P231">
        <v>241</v>
      </c>
      <c r="Q231">
        <v>10.9</v>
      </c>
      <c r="R231">
        <v>330500</v>
      </c>
      <c r="S231">
        <v>9.5</v>
      </c>
      <c r="AA231">
        <v>19</v>
      </c>
      <c r="AB231" t="s">
        <v>57</v>
      </c>
      <c r="AC231" t="s">
        <v>39</v>
      </c>
      <c r="AD231">
        <v>181</v>
      </c>
    </row>
    <row r="232" spans="1:30" x14ac:dyDescent="0.25">
      <c r="A232" t="s">
        <v>29</v>
      </c>
      <c r="B232" t="s">
        <v>30</v>
      </c>
      <c r="C232" t="s">
        <v>66</v>
      </c>
      <c r="D232">
        <v>1060000</v>
      </c>
      <c r="E232" t="s">
        <v>51</v>
      </c>
      <c r="F232" t="s">
        <v>99</v>
      </c>
      <c r="G232">
        <v>-33.465842481793729</v>
      </c>
      <c r="H232">
        <v>-57.902492880821214</v>
      </c>
      <c r="I232" t="s">
        <v>42</v>
      </c>
      <c r="J232">
        <v>19370</v>
      </c>
      <c r="K232" s="4" t="str">
        <f t="shared" si="4"/>
        <v>19</v>
      </c>
      <c r="L232" t="s">
        <v>326</v>
      </c>
      <c r="M232">
        <v>8</v>
      </c>
      <c r="N232" t="s">
        <v>70</v>
      </c>
      <c r="O232" t="s">
        <v>56</v>
      </c>
      <c r="P232">
        <v>360</v>
      </c>
      <c r="Q232">
        <v>43.9</v>
      </c>
      <c r="R232">
        <v>1060000</v>
      </c>
      <c r="S232">
        <v>7</v>
      </c>
      <c r="AA232">
        <v>19</v>
      </c>
      <c r="AB232" t="s">
        <v>38</v>
      </c>
      <c r="AC232" t="s">
        <v>39</v>
      </c>
      <c r="AD232">
        <v>280</v>
      </c>
    </row>
    <row r="233" spans="1:30" x14ac:dyDescent="0.25">
      <c r="A233" t="s">
        <v>29</v>
      </c>
      <c r="B233" t="s">
        <v>30</v>
      </c>
      <c r="C233" t="s">
        <v>66</v>
      </c>
      <c r="D233">
        <v>1106000</v>
      </c>
      <c r="E233" t="s">
        <v>51</v>
      </c>
      <c r="F233" t="s">
        <v>99</v>
      </c>
      <c r="G233">
        <v>-33.920454677813588</v>
      </c>
      <c r="H233">
        <v>-57.566723227500923</v>
      </c>
      <c r="I233" t="s">
        <v>42</v>
      </c>
      <c r="J233">
        <v>19300</v>
      </c>
      <c r="K233" s="4" t="str">
        <f t="shared" si="4"/>
        <v>19</v>
      </c>
      <c r="L233" t="s">
        <v>329</v>
      </c>
      <c r="M233">
        <v>5</v>
      </c>
      <c r="N233" t="s">
        <v>70</v>
      </c>
      <c r="O233" t="s">
        <v>330</v>
      </c>
      <c r="P233">
        <v>250</v>
      </c>
      <c r="Q233">
        <v>37.200000000000003</v>
      </c>
      <c r="R233">
        <v>1106000</v>
      </c>
      <c r="S233">
        <v>9.5</v>
      </c>
      <c r="AA233">
        <v>19</v>
      </c>
      <c r="AB233" t="s">
        <v>38</v>
      </c>
      <c r="AC233" t="s">
        <v>39</v>
      </c>
      <c r="AD233">
        <v>209</v>
      </c>
    </row>
    <row r="234" spans="1:30" x14ac:dyDescent="0.25">
      <c r="A234" t="s">
        <v>29</v>
      </c>
      <c r="B234" t="s">
        <v>30</v>
      </c>
      <c r="C234" t="s">
        <v>66</v>
      </c>
      <c r="D234">
        <v>800000</v>
      </c>
      <c r="E234" t="s">
        <v>51</v>
      </c>
      <c r="F234" t="s">
        <v>97</v>
      </c>
      <c r="G234">
        <v>-33.729933316889174</v>
      </c>
      <c r="H234">
        <v>-57.933992743492119</v>
      </c>
      <c r="I234" t="s">
        <v>42</v>
      </c>
      <c r="J234">
        <v>19320</v>
      </c>
      <c r="K234" s="4" t="str">
        <f t="shared" si="4"/>
        <v>19</v>
      </c>
      <c r="L234" t="s">
        <v>320</v>
      </c>
      <c r="M234">
        <v>6</v>
      </c>
      <c r="N234" t="s">
        <v>70</v>
      </c>
      <c r="O234" t="s">
        <v>56</v>
      </c>
      <c r="P234">
        <v>312</v>
      </c>
      <c r="Q234">
        <v>24.46</v>
      </c>
      <c r="R234">
        <v>800000</v>
      </c>
      <c r="S234">
        <v>12.45</v>
      </c>
      <c r="AA234">
        <v>19</v>
      </c>
      <c r="AB234" t="s">
        <v>38</v>
      </c>
      <c r="AC234" t="s">
        <v>39</v>
      </c>
      <c r="AD234">
        <v>309</v>
      </c>
    </row>
    <row r="235" spans="1:30" x14ac:dyDescent="0.25">
      <c r="A235" t="s">
        <v>29</v>
      </c>
      <c r="B235" t="s">
        <v>30</v>
      </c>
      <c r="C235" t="s">
        <v>66</v>
      </c>
      <c r="D235">
        <v>400000</v>
      </c>
      <c r="E235" t="s">
        <v>51</v>
      </c>
      <c r="F235" t="s">
        <v>99</v>
      </c>
      <c r="G235">
        <v>-33.700499521860863</v>
      </c>
      <c r="H235">
        <v>-57.837544530630105</v>
      </c>
      <c r="I235" t="s">
        <v>42</v>
      </c>
      <c r="J235">
        <v>19330</v>
      </c>
      <c r="K235" s="4" t="str">
        <f t="shared" si="4"/>
        <v>19</v>
      </c>
      <c r="L235" t="s">
        <v>98</v>
      </c>
      <c r="M235">
        <v>6</v>
      </c>
      <c r="N235" t="s">
        <v>70</v>
      </c>
      <c r="O235" t="s">
        <v>340</v>
      </c>
      <c r="P235">
        <v>283</v>
      </c>
      <c r="Q235">
        <v>21</v>
      </c>
      <c r="R235">
        <v>495000</v>
      </c>
      <c r="S235">
        <v>7.35</v>
      </c>
      <c r="AA235">
        <v>19</v>
      </c>
      <c r="AB235" t="s">
        <v>38</v>
      </c>
      <c r="AC235" t="s">
        <v>39</v>
      </c>
      <c r="AD235">
        <v>200</v>
      </c>
    </row>
    <row r="236" spans="1:30" x14ac:dyDescent="0.25">
      <c r="A236" t="s">
        <v>29</v>
      </c>
      <c r="B236" t="s">
        <v>30</v>
      </c>
      <c r="C236" t="s">
        <v>66</v>
      </c>
      <c r="D236">
        <v>550000</v>
      </c>
      <c r="E236" t="s">
        <v>51</v>
      </c>
      <c r="F236" t="s">
        <v>99</v>
      </c>
      <c r="G236">
        <v>-33.634870896921718</v>
      </c>
      <c r="H236">
        <v>-57.946524018771015</v>
      </c>
      <c r="I236" t="s">
        <v>42</v>
      </c>
      <c r="J236">
        <v>19342</v>
      </c>
      <c r="K236" s="4" t="str">
        <f t="shared" si="4"/>
        <v>19</v>
      </c>
      <c r="L236" t="s">
        <v>345</v>
      </c>
      <c r="M236">
        <v>3</v>
      </c>
      <c r="N236" t="s">
        <v>70</v>
      </c>
      <c r="O236" t="s">
        <v>56</v>
      </c>
      <c r="P236">
        <v>176</v>
      </c>
      <c r="Q236">
        <v>23.61</v>
      </c>
      <c r="R236">
        <v>506500</v>
      </c>
      <c r="S236">
        <v>11.85</v>
      </c>
      <c r="AA236">
        <v>19</v>
      </c>
      <c r="AB236" t="s">
        <v>38</v>
      </c>
      <c r="AC236" t="s">
        <v>39</v>
      </c>
      <c r="AD236">
        <v>220</v>
      </c>
    </row>
    <row r="237" spans="1:30" x14ac:dyDescent="0.25">
      <c r="A237" t="s">
        <v>29</v>
      </c>
      <c r="B237" t="s">
        <v>30</v>
      </c>
      <c r="C237" t="s">
        <v>66</v>
      </c>
      <c r="D237">
        <v>3000</v>
      </c>
      <c r="E237" t="s">
        <v>32</v>
      </c>
      <c r="F237" t="s">
        <v>33</v>
      </c>
      <c r="G237">
        <v>-33.606697704978167</v>
      </c>
      <c r="H237">
        <v>-57.966696918010719</v>
      </c>
      <c r="I237" t="s">
        <v>46</v>
      </c>
      <c r="J237">
        <v>19350</v>
      </c>
      <c r="K237" s="4" t="str">
        <f t="shared" si="4"/>
        <v>19</v>
      </c>
      <c r="L237" t="s">
        <v>137</v>
      </c>
      <c r="M237">
        <v>7</v>
      </c>
      <c r="N237" t="s">
        <v>70</v>
      </c>
      <c r="O237" t="s">
        <v>56</v>
      </c>
      <c r="P237">
        <v>1130</v>
      </c>
      <c r="Q237">
        <v>0.6</v>
      </c>
      <c r="R237">
        <v>3000</v>
      </c>
      <c r="S237">
        <v>3.5</v>
      </c>
      <c r="AA237">
        <v>19</v>
      </c>
      <c r="AB237" t="s">
        <v>57</v>
      </c>
      <c r="AC237" t="s">
        <v>50</v>
      </c>
      <c r="AD237">
        <v>0</v>
      </c>
    </row>
    <row r="238" spans="1:30" x14ac:dyDescent="0.25">
      <c r="A238" t="s">
        <v>29</v>
      </c>
      <c r="B238" t="s">
        <v>30</v>
      </c>
      <c r="C238" t="s">
        <v>66</v>
      </c>
      <c r="D238">
        <v>43000</v>
      </c>
      <c r="E238" t="s">
        <v>32</v>
      </c>
      <c r="F238" t="s">
        <v>33</v>
      </c>
      <c r="G238">
        <v>-33.60324780347073</v>
      </c>
      <c r="H238">
        <v>-57.968394085764892</v>
      </c>
      <c r="I238" t="s">
        <v>53</v>
      </c>
      <c r="J238">
        <v>19350</v>
      </c>
      <c r="K238" s="4" t="str">
        <f t="shared" si="4"/>
        <v>19</v>
      </c>
      <c r="L238" t="s">
        <v>137</v>
      </c>
      <c r="M238">
        <v>7</v>
      </c>
      <c r="N238" t="s">
        <v>70</v>
      </c>
      <c r="O238" t="s">
        <v>56</v>
      </c>
      <c r="P238">
        <v>1130</v>
      </c>
      <c r="Q238">
        <v>4.01</v>
      </c>
      <c r="R238">
        <v>43000</v>
      </c>
      <c r="S238">
        <v>4.42</v>
      </c>
      <c r="AA238">
        <v>19</v>
      </c>
      <c r="AB238" t="s">
        <v>57</v>
      </c>
      <c r="AC238" t="s">
        <v>50</v>
      </c>
      <c r="AD238">
        <v>0</v>
      </c>
    </row>
    <row r="239" spans="1:30" x14ac:dyDescent="0.25">
      <c r="A239" t="s">
        <v>29</v>
      </c>
      <c r="B239" t="s">
        <v>30</v>
      </c>
      <c r="C239" t="s">
        <v>66</v>
      </c>
      <c r="D239">
        <v>1100144</v>
      </c>
      <c r="E239" t="s">
        <v>51</v>
      </c>
      <c r="F239" t="s">
        <v>99</v>
      </c>
      <c r="G239">
        <v>-33.766508951370803</v>
      </c>
      <c r="H239">
        <v>-57.806190843111828</v>
      </c>
      <c r="I239" t="s">
        <v>34</v>
      </c>
      <c r="J239">
        <v>19320</v>
      </c>
      <c r="K239" s="4" t="str">
        <f t="shared" si="4"/>
        <v>19</v>
      </c>
      <c r="L239" t="s">
        <v>355</v>
      </c>
      <c r="M239">
        <v>6</v>
      </c>
      <c r="N239" t="s">
        <v>70</v>
      </c>
      <c r="O239" t="s">
        <v>56</v>
      </c>
      <c r="P239">
        <v>246.1</v>
      </c>
      <c r="Q239">
        <v>37.200000000000003</v>
      </c>
      <c r="R239">
        <v>1100144</v>
      </c>
      <c r="S239">
        <v>8.6999999999999993</v>
      </c>
      <c r="AA239">
        <v>19</v>
      </c>
      <c r="AB239" t="s">
        <v>38</v>
      </c>
      <c r="AC239" t="s">
        <v>39</v>
      </c>
      <c r="AD239">
        <v>217</v>
      </c>
    </row>
    <row r="240" spans="1:30" x14ac:dyDescent="0.25">
      <c r="A240" t="s">
        <v>29</v>
      </c>
      <c r="B240" t="s">
        <v>30</v>
      </c>
      <c r="C240" t="s">
        <v>66</v>
      </c>
      <c r="D240">
        <v>150794</v>
      </c>
      <c r="E240" t="s">
        <v>51</v>
      </c>
      <c r="F240" t="s">
        <v>99</v>
      </c>
      <c r="G240">
        <v>-33.454421332132405</v>
      </c>
      <c r="H240">
        <v>-57.925581336021423</v>
      </c>
      <c r="I240" t="s">
        <v>42</v>
      </c>
      <c r="J240">
        <v>19370</v>
      </c>
      <c r="K240" s="4" t="str">
        <f t="shared" si="4"/>
        <v>19</v>
      </c>
      <c r="L240" t="s">
        <v>356</v>
      </c>
      <c r="M240">
        <v>2</v>
      </c>
      <c r="N240" t="s">
        <v>70</v>
      </c>
      <c r="O240" t="s">
        <v>56</v>
      </c>
      <c r="P240">
        <v>213.6</v>
      </c>
      <c r="Q240">
        <v>12.2</v>
      </c>
      <c r="R240">
        <v>150700</v>
      </c>
      <c r="S240">
        <v>6.8</v>
      </c>
      <c r="AA240">
        <v>19</v>
      </c>
      <c r="AB240" t="s">
        <v>38</v>
      </c>
      <c r="AC240" t="s">
        <v>39</v>
      </c>
      <c r="AD240">
        <v>140</v>
      </c>
    </row>
    <row r="241" spans="1:30" x14ac:dyDescent="0.25">
      <c r="A241" t="s">
        <v>29</v>
      </c>
      <c r="B241" t="s">
        <v>30</v>
      </c>
      <c r="C241" t="s">
        <v>66</v>
      </c>
      <c r="D241">
        <v>394400</v>
      </c>
      <c r="E241" t="s">
        <v>51</v>
      </c>
      <c r="F241" t="s">
        <v>99</v>
      </c>
      <c r="G241">
        <v>-33.818157140270735</v>
      </c>
      <c r="H241">
        <v>-57.616207301616662</v>
      </c>
      <c r="I241" t="s">
        <v>42</v>
      </c>
      <c r="J241">
        <v>19315</v>
      </c>
      <c r="K241" s="4" t="str">
        <f t="shared" si="4"/>
        <v>19</v>
      </c>
      <c r="L241" t="s">
        <v>357</v>
      </c>
      <c r="M241">
        <v>5</v>
      </c>
      <c r="N241" t="s">
        <v>70</v>
      </c>
      <c r="O241" t="s">
        <v>56</v>
      </c>
      <c r="P241">
        <v>103</v>
      </c>
      <c r="Q241">
        <v>16.2</v>
      </c>
      <c r="R241">
        <v>394400</v>
      </c>
      <c r="S241">
        <v>7.6</v>
      </c>
      <c r="AA241">
        <v>19</v>
      </c>
      <c r="AB241" t="s">
        <v>38</v>
      </c>
      <c r="AC241" t="s">
        <v>39</v>
      </c>
      <c r="AD241">
        <v>128</v>
      </c>
    </row>
    <row r="242" spans="1:30" x14ac:dyDescent="0.25">
      <c r="A242" t="s">
        <v>29</v>
      </c>
      <c r="B242" t="s">
        <v>30</v>
      </c>
      <c r="C242" t="s">
        <v>66</v>
      </c>
      <c r="D242">
        <v>850000</v>
      </c>
      <c r="E242" t="s">
        <v>51</v>
      </c>
      <c r="F242" t="s">
        <v>97</v>
      </c>
      <c r="G242">
        <v>-33.633410953151291</v>
      </c>
      <c r="H242">
        <v>-58.191830813884742</v>
      </c>
      <c r="I242" t="s">
        <v>85</v>
      </c>
      <c r="J242">
        <v>19381</v>
      </c>
      <c r="K242" s="4" t="str">
        <f t="shared" si="4"/>
        <v>19</v>
      </c>
      <c r="L242" t="s">
        <v>142</v>
      </c>
      <c r="M242">
        <v>3</v>
      </c>
      <c r="N242" t="s">
        <v>70</v>
      </c>
      <c r="O242" t="s">
        <v>313</v>
      </c>
      <c r="P242">
        <v>1130</v>
      </c>
      <c r="Q242">
        <v>43.84</v>
      </c>
      <c r="R242">
        <v>850000</v>
      </c>
      <c r="S242">
        <v>6.8</v>
      </c>
      <c r="AA242">
        <v>19</v>
      </c>
      <c r="AB242" t="s">
        <v>57</v>
      </c>
      <c r="AC242" t="s">
        <v>50</v>
      </c>
      <c r="AD242">
        <v>372</v>
      </c>
    </row>
    <row r="243" spans="1:30" x14ac:dyDescent="0.25">
      <c r="A243" t="s">
        <v>29</v>
      </c>
      <c r="B243" t="s">
        <v>30</v>
      </c>
      <c r="C243" t="s">
        <v>66</v>
      </c>
      <c r="D243">
        <v>358000</v>
      </c>
      <c r="E243" t="s">
        <v>51</v>
      </c>
      <c r="F243" t="s">
        <v>99</v>
      </c>
      <c r="G243">
        <v>-33.85628103952876</v>
      </c>
      <c r="H243">
        <v>-57.878920957446084</v>
      </c>
      <c r="I243" t="s">
        <v>42</v>
      </c>
      <c r="J243">
        <v>19320</v>
      </c>
      <c r="K243" s="4" t="str">
        <f t="shared" si="4"/>
        <v>19</v>
      </c>
      <c r="L243" t="s">
        <v>359</v>
      </c>
      <c r="M243">
        <v>5</v>
      </c>
      <c r="N243" t="s">
        <v>70</v>
      </c>
      <c r="O243" t="s">
        <v>56</v>
      </c>
      <c r="P243">
        <v>210</v>
      </c>
      <c r="Q243">
        <v>20</v>
      </c>
      <c r="R243">
        <v>358000</v>
      </c>
      <c r="S243">
        <v>5.5</v>
      </c>
      <c r="AA243">
        <v>19</v>
      </c>
      <c r="AB243" t="s">
        <v>38</v>
      </c>
      <c r="AC243" t="s">
        <v>39</v>
      </c>
      <c r="AD243">
        <v>120</v>
      </c>
    </row>
    <row r="244" spans="1:30" x14ac:dyDescent="0.25">
      <c r="A244" t="s">
        <v>29</v>
      </c>
      <c r="B244" t="s">
        <v>30</v>
      </c>
      <c r="C244" t="s">
        <v>66</v>
      </c>
      <c r="D244">
        <v>1012895</v>
      </c>
      <c r="E244" t="s">
        <v>51</v>
      </c>
      <c r="F244" t="s">
        <v>99</v>
      </c>
      <c r="G244">
        <v>-33.732610111598397</v>
      </c>
      <c r="H244">
        <v>-57.987551093101494</v>
      </c>
      <c r="I244" t="s">
        <v>42</v>
      </c>
      <c r="J244">
        <v>19320</v>
      </c>
      <c r="K244" s="4" t="str">
        <f t="shared" si="4"/>
        <v>19</v>
      </c>
      <c r="L244" t="s">
        <v>375</v>
      </c>
      <c r="N244" t="s">
        <v>70</v>
      </c>
      <c r="O244" t="s">
        <v>56</v>
      </c>
      <c r="P244">
        <v>328.9</v>
      </c>
      <c r="Q244">
        <v>32.42</v>
      </c>
      <c r="R244">
        <v>1012000</v>
      </c>
      <c r="S244">
        <v>10.7</v>
      </c>
      <c r="AA244">
        <v>19</v>
      </c>
      <c r="AB244" t="s">
        <v>38</v>
      </c>
      <c r="AC244" t="s">
        <v>39</v>
      </c>
      <c r="AD244">
        <v>262</v>
      </c>
    </row>
  </sheetData>
  <autoFilter ref="A1:AD244" xr:uid="{00000000-0001-0000-0000-000000000000}"/>
  <sortState xmlns:xlrd2="http://schemas.microsoft.com/office/spreadsheetml/2017/richdata2" ref="A2:AD244">
    <sortCondition ref="K1:K2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cols>
    <col min="1" max="1" width="31.28515625" customWidth="1"/>
    <col min="2" max="2" width="19.5703125" customWidth="1"/>
  </cols>
  <sheetData>
    <row r="1" spans="1:2" x14ac:dyDescent="0.25">
      <c r="A1" s="1" t="s">
        <v>381</v>
      </c>
      <c r="B1" s="2" t="s">
        <v>167</v>
      </c>
    </row>
    <row r="2" spans="1:2" x14ac:dyDescent="0.25">
      <c r="A2" s="1" t="s">
        <v>382</v>
      </c>
      <c r="B2" s="2" t="s">
        <v>383</v>
      </c>
    </row>
    <row r="3" spans="1:2" x14ac:dyDescent="0.25">
      <c r="A3" s="1" t="s">
        <v>384</v>
      </c>
      <c r="B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</vt:lpstr>
      <vt:lpstr>Datos consultados de solicitud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GEORGINA MARIANELA RUBIANO</cp:lastModifiedBy>
  <dcterms:created xsi:type="dcterms:W3CDTF">2026-08-31T17:19:11Z</dcterms:created>
  <dcterms:modified xsi:type="dcterms:W3CDTF">2026-09-01T12:59:31Z</dcterms:modified>
</cp:coreProperties>
</file>